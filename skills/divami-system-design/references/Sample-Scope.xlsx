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pe" sheetId="1" r:id="rId5"/>
    <sheet state="visible" name="Efforts Summary" sheetId="2" r:id="rId6"/>
    <sheet state="visible" name="Scope Summary" sheetId="3" r:id="rId7"/>
    <sheet state="hidden" name="Guidelines" sheetId="4" r:id="rId8"/>
    <sheet state="visible" name="Architecture - Techstack" sheetId="5" r:id="rId9"/>
    <sheet state="visible" name="Effort Table- Delete Later" sheetId="6" r:id="rId10"/>
    <sheet state="visible" name="Questions" sheetId="7" r:id="rId11"/>
    <sheet state="visible" name="Features under the three Pillar" sheetId="8" r:id="rId12"/>
  </sheets>
  <definedNames>
    <definedName name="MobileApp_Estimates">Guidelines!$A$50:$I$54</definedName>
    <definedName name="HybridApp_Estimates">Guidelines!$A$58:$I$62</definedName>
    <definedName name="Effort_Estimate_Guidelines">Guidelines!$A$1:$M$7</definedName>
    <definedName name="Website_Estimates">Guidelines!$G$32:$I$38</definedName>
    <definedName name="Scope_Efforts_Detail">#REF!</definedName>
    <definedName name="BackendCtlr_Estimates">Guidelines!$A$85:$G$90</definedName>
    <definedName name="BackendModel_Estimates">Guidelines!$A$76:$E$81</definedName>
    <definedName name="AutomatedQA_Estimates">Guidelines!$A$42:$B$46</definedName>
    <definedName name="WebServices_Estimate">Guidelines!$A$34:$E$38</definedName>
    <definedName name="ProductOwner_Estimates">Guidelines!$G$42:$H$46</definedName>
    <definedName name="RateCard">#REF!</definedName>
    <definedName localSheetId="0" name="Scope_Efforts_Detail">Scope!$A$1:$U$1</definedName>
    <definedName name="iWork_Services_Summary">#REF!</definedName>
    <definedName name="BackendServices_Estimates">Guidelines!$A$67:$G$72</definedName>
    <definedName name="FormFactorGuidelines">Guidelines!$A$11:$E$14</definedName>
    <definedName name="iWork_Framework_Summary">#REF!</definedName>
    <definedName name="Design_Estimates">Guidelines!$A$19:$M$22</definedName>
    <definedName name="WebappUI_Estimates">Guidelines!$A$26:$M$30</definedName>
  </definedNames>
  <calcPr/>
  <pivotCaches>
    <pivotCache cacheId="0" r:id="rId13"/>
  </pivotCaches>
</workbook>
</file>

<file path=xl/sharedStrings.xml><?xml version="1.0" encoding="utf-8"?>
<sst xmlns="http://schemas.openxmlformats.org/spreadsheetml/2006/main" count="1269" uniqueCount="433">
  <si>
    <t>Persona</t>
  </si>
  <si>
    <t>Module</t>
  </si>
  <si>
    <t>Feature</t>
  </si>
  <si>
    <t>Sub Feature</t>
  </si>
  <si>
    <t>#pages</t>
  </si>
  <si>
    <t>Complexity</t>
  </si>
  <si>
    <t xml:space="preserve">Component </t>
  </si>
  <si>
    <t>Form Factor</t>
  </si>
  <si>
    <t>Milestone</t>
  </si>
  <si>
    <t>Design (hrs)</t>
  </si>
  <si>
    <t>Web UI</t>
  </si>
  <si>
    <t>Services</t>
  </si>
  <si>
    <t>AI</t>
  </si>
  <si>
    <t>Mobile UI</t>
  </si>
  <si>
    <t>DevOps</t>
  </si>
  <si>
    <t>PO</t>
  </si>
  <si>
    <t>PM</t>
  </si>
  <si>
    <t>Design Strategy</t>
  </si>
  <si>
    <t>Architect</t>
  </si>
  <si>
    <t>QA Manual</t>
  </si>
  <si>
    <t>QA Auto</t>
  </si>
  <si>
    <t>Validation</t>
  </si>
  <si>
    <t>Design
(ReUse)</t>
  </si>
  <si>
    <t>Web UI
(ReUse)</t>
  </si>
  <si>
    <t>Services
(ReUse)</t>
  </si>
  <si>
    <t>Mobile UI
(ReUse)</t>
  </si>
  <si>
    <t>Automation (ReUse)</t>
  </si>
  <si>
    <t>ReUse
Notes</t>
  </si>
  <si>
    <t>Registration</t>
  </si>
  <si>
    <t>Email Signup</t>
  </si>
  <si>
    <t>XS</t>
  </si>
  <si>
    <t>Frontend</t>
  </si>
  <si>
    <t>Responsive</t>
  </si>
  <si>
    <t>Phase 1</t>
  </si>
  <si>
    <t xml:space="preserve">Google Signup </t>
  </si>
  <si>
    <t>Phase 2</t>
  </si>
  <si>
    <t>Linkedin Signup</t>
  </si>
  <si>
    <t>Invite-Based Registration</t>
  </si>
  <si>
    <t>Phase 3</t>
  </si>
  <si>
    <t>Identification</t>
  </si>
  <si>
    <t>Email Login</t>
  </si>
  <si>
    <t>Linkedin Login</t>
  </si>
  <si>
    <t>Google Login</t>
  </si>
  <si>
    <t>Session Management</t>
  </si>
  <si>
    <t>First Time Experience</t>
  </si>
  <si>
    <t>Welcome Flow</t>
  </si>
  <si>
    <t>Role &amp; Profile Setup</t>
  </si>
  <si>
    <t>Topic Preferences</t>
  </si>
  <si>
    <t>First Action Nudges</t>
  </si>
  <si>
    <t>Discovery</t>
  </si>
  <si>
    <t>Unified Search Bar</t>
  </si>
  <si>
    <t>Search Filters</t>
  </si>
  <si>
    <t>AI Semantic Search</t>
  </si>
  <si>
    <t>Search Suggestions</t>
  </si>
  <si>
    <t>Recent  Searches</t>
  </si>
  <si>
    <t>Global Search</t>
  </si>
  <si>
    <t>People to follow</t>
  </si>
  <si>
    <t>Account Profile</t>
  </si>
  <si>
    <t>Basic Profile, KPIs</t>
  </si>
  <si>
    <t>User Profile</t>
  </si>
  <si>
    <t>Proffesional experience section</t>
  </si>
  <si>
    <t>List of own posts</t>
  </si>
  <si>
    <t>Activity Overview</t>
  </si>
  <si>
    <t>Badges &amp; Contributions</t>
  </si>
  <si>
    <t>Privacy Controls</t>
  </si>
  <si>
    <t>Notification Hub</t>
  </si>
  <si>
    <t>In-App Alerts</t>
  </si>
  <si>
    <t>Email Notifications</t>
  </si>
  <si>
    <t>Push Notifications</t>
  </si>
  <si>
    <t>Notification Settings</t>
  </si>
  <si>
    <t>Personalized Home Feed</t>
  </si>
  <si>
    <t>Content Feed</t>
  </si>
  <si>
    <t>Home Feed</t>
  </si>
  <si>
    <t>Create new post</t>
  </si>
  <si>
    <t>Feed Personalization</t>
  </si>
  <si>
    <t>Interaction</t>
  </si>
  <si>
    <t>Comments screen, interaction</t>
  </si>
  <si>
    <t>Share post interaction</t>
  </si>
  <si>
    <t>Message Section</t>
  </si>
  <si>
    <t>List of People, search function</t>
  </si>
  <si>
    <t>Individual chat section</t>
  </si>
  <si>
    <t>Individual chat settings</t>
  </si>
  <si>
    <t>Community Section</t>
  </si>
  <si>
    <t>Community section</t>
  </si>
  <si>
    <t>KPIs, Leaders follow section</t>
  </si>
  <si>
    <t>Influencer Feed</t>
  </si>
  <si>
    <t>Thought Leadership Posts, Inspiring Videos, Case Studies, AMA Highlights</t>
  </si>
  <si>
    <t>Commenting, Liking, Sharing,Mute Topics,Follow / Unfollow Topics,Report Content</t>
  </si>
  <si>
    <t>Contribution</t>
  </si>
  <si>
    <t>Ask Questions, Share Case Studies, Run Polls, Publish Short Insights / Articles</t>
  </si>
  <si>
    <t xml:space="preserve">Tag Peers, Topic-based Discussions, Anonymous Posting </t>
  </si>
  <si>
    <t>Resource Library</t>
  </si>
  <si>
    <t>eBooks, Templates, Checklists</t>
  </si>
  <si>
    <t>Categorization by Topic/Role, Search &amp; Filter Resources</t>
  </si>
  <si>
    <t>User Ratings &amp; Reviews, Bookmark / Save for Later</t>
  </si>
  <si>
    <t>Events &amp; AMAs</t>
  </si>
  <si>
    <t>Upcoming Live Sessions, Recording Library, Topic Filters / Search</t>
  </si>
  <si>
    <t>Ask Questions Live, Chat with Attendees, RSVP / Calendar Integration</t>
  </si>
  <si>
    <t>S</t>
  </si>
  <si>
    <t>Buyer’s Guide / Sponsors</t>
  </si>
  <si>
    <t>Contextual Sponsored Insights, Featured Recommendations</t>
  </si>
  <si>
    <t>User Ratings &amp; Reviews, Lead Capture for Vendors</t>
  </si>
  <si>
    <t>Recognition &amp; Reputation</t>
  </si>
  <si>
    <t>Achievement Badges, Contribution Streaks</t>
  </si>
  <si>
    <t>Verified HR Credentials, Community Reputation Score</t>
  </si>
  <si>
    <t>Analytics</t>
  </si>
  <si>
    <t>Topic Trends, Engagement Stats</t>
  </si>
  <si>
    <t>Anonymized Insights, Content Performance, Audience Segmentation</t>
  </si>
  <si>
    <t>Trust &amp; Safety</t>
  </si>
  <si>
    <t>Human + AI Moderation, Abuse / Spam Reporting</t>
  </si>
  <si>
    <t>Community Guidelines, Privacy Controls / Data Management</t>
  </si>
  <si>
    <t>Confessional Corner</t>
  </si>
  <si>
    <t>Sensitive Topics Collaboration, Optional Expert Input, Thread Privacy Controls</t>
  </si>
  <si>
    <t>Settings</t>
  </si>
  <si>
    <t>Connected Accounts</t>
  </si>
  <si>
    <t>Account Settings</t>
  </si>
  <si>
    <t>Saved Posts, Archive Posts</t>
  </si>
  <si>
    <t>Billing/ for creators</t>
  </si>
  <si>
    <t>Subscription Management</t>
  </si>
  <si>
    <t>Creator tools, proffesional dashboard</t>
  </si>
  <si>
    <t>Feed Controls</t>
  </si>
  <si>
    <t>Anonymous Controls</t>
  </si>
  <si>
    <t>App Settings</t>
  </si>
  <si>
    <t>General, theme settings</t>
  </si>
  <si>
    <t>Notifications, language settings</t>
  </si>
  <si>
    <t>Block / Mute Users</t>
  </si>
  <si>
    <t>Privacy &amp; Safety</t>
  </si>
  <si>
    <t>Account Privacy</t>
  </si>
  <si>
    <t>Private account / Account preferences</t>
  </si>
  <si>
    <t>About</t>
  </si>
  <si>
    <t>Help Center</t>
  </si>
  <si>
    <t>Contact Support</t>
  </si>
  <si>
    <t>Deactivate Account</t>
  </si>
  <si>
    <t>Delete Account</t>
  </si>
  <si>
    <t>Interactions</t>
  </si>
  <si>
    <t>Messages, replies, tags, mentions, Comments, sharing</t>
  </si>
  <si>
    <t>Common Module</t>
  </si>
  <si>
    <t>Admin Controls</t>
  </si>
  <si>
    <t>Mgmt Screen for admin controls</t>
  </si>
  <si>
    <t>Admin Module</t>
  </si>
  <si>
    <t>User Review and Act to delete or inactivate user
User activity log
Dashboard with emetrics on user patterns
Resouce Mgmt Module</t>
  </si>
  <si>
    <t>M</t>
  </si>
  <si>
    <t>Bussiness Module</t>
  </si>
  <si>
    <t>Profile Management</t>
  </si>
  <si>
    <t>Backend</t>
  </si>
  <si>
    <t>On-Boarding Process</t>
  </si>
  <si>
    <t>Feed and Post Management</t>
  </si>
  <si>
    <t>Collaboration</t>
  </si>
  <si>
    <t>Topic-based Discussions, Anonymous Posting , Anonymous Discussions</t>
  </si>
  <si>
    <t>Event Management</t>
  </si>
  <si>
    <t>Upcoming Live Sessions, Recording Library, Topic Filters / Search
Ask Questions Live, Chat with Attendees, RSVP / Calendar Integration</t>
  </si>
  <si>
    <t>Filter and Searching</t>
  </si>
  <si>
    <t>Unified Search Bar, Search Filters ,AI Semantic Search, Search Suggestions, Recent  Searches</t>
  </si>
  <si>
    <t>Upload and Download management</t>
  </si>
  <si>
    <t>Help &amp; Support</t>
  </si>
  <si>
    <t xml:space="preserve">Dashboard &amp; Analytics </t>
  </si>
  <si>
    <t>Action Module</t>
  </si>
  <si>
    <t>Chat, Comment, Like, Share, Rate and Review.
This a independent module which can be attach to any module like feed, live-streaming, posts, Help &amp; support</t>
  </si>
  <si>
    <t>L</t>
  </si>
  <si>
    <t>Streaming service</t>
  </si>
  <si>
    <t>Real-Time Communication</t>
  </si>
  <si>
    <t>Anonymous Control</t>
  </si>
  <si>
    <t>Notification managment</t>
  </si>
  <si>
    <t>Data Security and Data Privacy</t>
  </si>
  <si>
    <t>Payment Gateway</t>
  </si>
  <si>
    <t xml:space="preserve">CMS </t>
  </si>
  <si>
    <t xml:space="preserve">Authentication </t>
  </si>
  <si>
    <t>RBAC</t>
  </si>
  <si>
    <t>Cache managment</t>
  </si>
  <si>
    <t>User managment</t>
  </si>
  <si>
    <t>Monitoring</t>
  </si>
  <si>
    <t>Audit-history</t>
  </si>
  <si>
    <t>Archival</t>
  </si>
  <si>
    <t>Orchestration Module</t>
  </si>
  <si>
    <t>Admin Management</t>
  </si>
  <si>
    <t>Common</t>
  </si>
  <si>
    <t>Database</t>
  </si>
  <si>
    <t>Database script management</t>
  </si>
  <si>
    <t>Infrastructure Setup
Pipeline Setup</t>
  </si>
  <si>
    <t>Feedback &amp; Bug fixing</t>
  </si>
  <si>
    <t>Overheads (PM, PO, Arch)</t>
  </si>
  <si>
    <t>Totals</t>
  </si>
  <si>
    <t>Values</t>
  </si>
  <si>
    <t>Total</t>
  </si>
  <si>
    <t>SUM of Design</t>
  </si>
  <si>
    <t xml:space="preserve">Function </t>
  </si>
  <si>
    <t>Actuals</t>
  </si>
  <si>
    <t>Ratio</t>
  </si>
  <si>
    <t>Other Fucntions Split</t>
  </si>
  <si>
    <t xml:space="preserve">Total </t>
  </si>
  <si>
    <t>Approx</t>
  </si>
  <si>
    <t>Rate</t>
  </si>
  <si>
    <t>SUM of Web UI</t>
  </si>
  <si>
    <t xml:space="preserve">Mobile Delivery </t>
  </si>
  <si>
    <t>SUM of Services</t>
  </si>
  <si>
    <t xml:space="preserve">Web Delivery </t>
  </si>
  <si>
    <t>SUM of AI</t>
  </si>
  <si>
    <t xml:space="preserve">Backend Delivery </t>
  </si>
  <si>
    <t>SUM of Mobile UI</t>
  </si>
  <si>
    <t>SUM of QA Manual</t>
  </si>
  <si>
    <t>SUM of QA Auto</t>
  </si>
  <si>
    <t>SUM of DevOps</t>
  </si>
  <si>
    <t>Other functions (QA+PO+PM+Architect)</t>
  </si>
  <si>
    <t>SUM of PO</t>
  </si>
  <si>
    <t>SUM of PM</t>
  </si>
  <si>
    <t>SUM of Design Strategy</t>
  </si>
  <si>
    <t>SUM of Architect</t>
  </si>
  <si>
    <t xml:space="preserve">Home </t>
  </si>
  <si>
    <t>Team Size (Not updated)</t>
  </si>
  <si>
    <t>Design</t>
  </si>
  <si>
    <t>Development</t>
  </si>
  <si>
    <t>Scrum</t>
  </si>
  <si>
    <t>Design Strategist</t>
  </si>
  <si>
    <t>Tech Architect</t>
  </si>
  <si>
    <t>&lt;-- Calendar Months</t>
  </si>
  <si>
    <t>Team</t>
  </si>
  <si>
    <t>Total Efforts</t>
  </si>
  <si>
    <t>Seniority</t>
  </si>
  <si>
    <t>Engg Lead</t>
  </si>
  <si>
    <t>Tech Lead</t>
  </si>
  <si>
    <t>Engg Developer</t>
  </si>
  <si>
    <t>Developer - IC</t>
  </si>
  <si>
    <t>Jr. Developer - IC</t>
  </si>
  <si>
    <t>AI Engineer</t>
  </si>
  <si>
    <t>Functional QA Engr</t>
  </si>
  <si>
    <t>Functional QA - IC</t>
  </si>
  <si>
    <t>Auto QA Engr</t>
  </si>
  <si>
    <t>QA Engineer - IC</t>
  </si>
  <si>
    <t>QA Lead</t>
  </si>
  <si>
    <t>Principal Tech Lead</t>
  </si>
  <si>
    <t>DevOps Engr</t>
  </si>
  <si>
    <t>Product Owner</t>
  </si>
  <si>
    <t>Project Manager</t>
  </si>
  <si>
    <t>Delivery Manager</t>
  </si>
  <si>
    <t>Backend: Java Spring (v5.3+), JDK 17, MySQL 8.4</t>
  </si>
  <si>
    <t>Frontend: Angular / React (TBD)</t>
  </si>
  <si>
    <t>CI/CD: Jenkins, jFrog, SonarQube</t>
  </si>
  <si>
    <t>Authentication: OKTA SSO, OAuth 2.0, RBAC/ACL</t>
  </si>
  <si>
    <t>Hosting &amp; Infra: VM-based deployment with environment segregation</t>
  </si>
  <si>
    <t>Testing: JUnit, Selenium, Postman (API automation)</t>
  </si>
  <si>
    <t>CONSOLIDATED EFFORTS SUMMARY</t>
  </si>
  <si>
    <t>SERVICES</t>
  </si>
  <si>
    <t>DESIGN (Responsive)</t>
  </si>
  <si>
    <t>WEB UI (Responsive)</t>
  </si>
  <si>
    <t>DESIGN (Web)</t>
  </si>
  <si>
    <t>WEB UI (Web)</t>
  </si>
  <si>
    <t>DESIGN (Mobile)</t>
  </si>
  <si>
    <t>NATIVE (Mobile)</t>
  </si>
  <si>
    <t>HYBRID (Mobile)</t>
  </si>
  <si>
    <t>NATIVE (Responsive)</t>
  </si>
  <si>
    <t>HYBRID (Responsive)</t>
  </si>
  <si>
    <t>Auto QA UI</t>
  </si>
  <si>
    <t>Auto QA Services</t>
  </si>
  <si>
    <t>XL</t>
  </si>
  <si>
    <t>Form Factor Lookup</t>
  </si>
  <si>
    <t>UI</t>
  </si>
  <si>
    <t>Automation UI</t>
  </si>
  <si>
    <t>Automation Services</t>
  </si>
  <si>
    <t>Web</t>
  </si>
  <si>
    <t>Mobile Native</t>
  </si>
  <si>
    <t>Mobile Hybrid</t>
  </si>
  <si>
    <t>DESIGN</t>
  </si>
  <si>
    <t>Desktop + Mobile</t>
  </si>
  <si>
    <t>Web Only</t>
  </si>
  <si>
    <t>Mobile Responsive</t>
  </si>
  <si>
    <t>Mobile App Only</t>
  </si>
  <si>
    <t>IxD</t>
  </si>
  <si>
    <t>UID</t>
  </si>
  <si>
    <t>WEB APP</t>
  </si>
  <si>
    <t>Full Responsive</t>
  </si>
  <si>
    <t>Single Form Factor</t>
  </si>
  <si>
    <t>UI Dev</t>
  </si>
  <si>
    <t>Integration</t>
  </si>
  <si>
    <t>Unit Testing</t>
  </si>
  <si>
    <t>Dev Testing</t>
  </si>
  <si>
    <t>Bug Fixing</t>
  </si>
  <si>
    <t>WEB SERVICES</t>
  </si>
  <si>
    <t>Website</t>
  </si>
  <si>
    <t>Dev</t>
  </si>
  <si>
    <t>Unit Test</t>
  </si>
  <si>
    <t>HTML/CSS</t>
  </si>
  <si>
    <t>CMS</t>
  </si>
  <si>
    <t>AUTOMATED QA</t>
  </si>
  <si>
    <t>PRODUCT OWNER</t>
  </si>
  <si>
    <t>% of Dev Time</t>
  </si>
  <si>
    <t>NATIVE MOBILE</t>
  </si>
  <si>
    <t>Mobile Only</t>
  </si>
  <si>
    <t>Tablet + Mobile</t>
  </si>
  <si>
    <t>HYBRID MOBILE</t>
  </si>
  <si>
    <t>BACKEND SERVICES</t>
  </si>
  <si>
    <t>BACKEND MODEL</t>
  </si>
  <si>
    <t>BACKEND CONTROLLERS</t>
  </si>
  <si>
    <t>MANUAL QA</t>
  </si>
  <si>
    <t>Basic (Primary one browser/OS testing for functionality)
Testing Strategy Documentation
Test Plan Documentation</t>
  </si>
  <si>
    <t>Cross browser / Multi device / Multi OS / hardware specifications / multi network testing 
(No of permutations)</t>
  </si>
  <si>
    <t>Depending on the scope, these combinations be figured out</t>
  </si>
  <si>
    <t>Additional time added to Base QA time per permutation</t>
  </si>
  <si>
    <t>Depending on the comlexity of the project this % could increase</t>
  </si>
  <si>
    <t>Final %</t>
  </si>
  <si>
    <t>ENGINEERING WORK</t>
  </si>
  <si>
    <t>Engg deliverables (As part of source code)</t>
  </si>
  <si>
    <t>Percentage</t>
  </si>
  <si>
    <r>
      <rPr>
        <rFont val="Arial"/>
        <color theme="1"/>
      </rPr>
      <t xml:space="preserve">Repo maintanence: Github, bitbucket as per customer choice
Source code linting : ESLint + TSLint (for typescript)
Code profiling: SonarQube (All high and critical issues are eliminated before every Sprint release. Minute warnings are addressed on a case to case basis only if there is good ROI) 
Unit test coverage:. Runs every build and published during every sprint release
Logging: Configurable logging onto Console, File System.
CloudWatch connected (log monitoring open source software). 
Divami logging and log monitoring default settings: </t>
    </r>
    <r>
      <rPr>
        <rFont val="Arial"/>
        <b/>
        <color theme="1"/>
      </rPr>
      <t xml:space="preserve">&lt;LINK TO BE ADDED&gt;
</t>
    </r>
    <r>
      <rPr>
        <rFont val="Arial"/>
        <color theme="1"/>
      </rPr>
      <t xml:space="preserve">
Front end criticals:  obfuscation, minification, compression, images handling/caching. / storage scoping. memory footprint, host utilisation
Back end criticals: auth handling. token mgmt best practises, memory footprint mgmt., server (host) utilisation
Basic encryption. organic concurrency handling, senstive data hashing (basic). </t>
    </r>
  </si>
  <si>
    <t>Tech Documentation &amp; Reporting</t>
  </si>
  <si>
    <r>
      <rPr>
        <rFont val="Arial"/>
        <color theme="1"/>
      </rPr>
      <t xml:space="preserve">Inline documentation: </t>
    </r>
    <r>
      <rPr>
        <rFont val="Arial"/>
        <b/>
        <color theme="1"/>
      </rPr>
      <t>&lt;Divami specific tool used to expose this to readers will be mentioned here&gt;</t>
    </r>
    <r>
      <rPr>
        <rFont val="Arial"/>
        <color theme="1"/>
      </rPr>
      <t xml:space="preserve">
SonarQube run report published during every sprint release
Unit test coverage report published during every sprint release
Functional flows, Solution architecture and Application architecture are produced and maintained during implementation - For the critical flows only. These are later added into the product spec
Specific documentation for any 3rd Party Integrations. How we performed the specific integration.  Any wrappers/enhancements etc.
Key/Creds storage details and rotation policy (if applicable)
API Documentation: Swagger
Database Schema: ER diagrams
Any additional flow charts for data movement, end of day processing, constant grow data maintanence, are documented
</t>
    </r>
    <r>
      <rPr>
        <rFont val="Arial"/>
        <b/>
        <color theme="1"/>
      </rPr>
      <t xml:space="preserve">
Divami Operation Security Practises:  &lt;Document Link&gt;</t>
    </r>
  </si>
  <si>
    <t>Dev Ops &amp; CI/CD Artifacts</t>
  </si>
  <si>
    <t>Hours</t>
  </si>
  <si>
    <t>Pipeline script&amp;Docker script
Certificate and protocols usage records: Details of location. Configurations chosen. E.g. SSL. DNS etc. 
Deployment model documentation
Infra Bill of Materials
Infra as code</t>
  </si>
  <si>
    <t>Engineering Overall Buffer</t>
  </si>
  <si>
    <t>Desing Overall Buffer</t>
  </si>
  <si>
    <t>ADDITIONALS</t>
  </si>
  <si>
    <t>Security Scanning (Code &amp; APIs)</t>
  </si>
  <si>
    <t>Performance Testing</t>
  </si>
  <si>
    <t>Load Testing</t>
  </si>
  <si>
    <t>DB Tuning (Advanced)  (Additional)</t>
  </si>
  <si>
    <t>Maintanenence work (post release)</t>
  </si>
  <si>
    <t>Infra Security / Environment security</t>
  </si>
  <si>
    <t>High availability and uptime plan + DR</t>
  </si>
  <si>
    <t xml:space="preserve">Application level monitoring framework on top of logs </t>
  </si>
  <si>
    <t>API based functional testing</t>
  </si>
  <si>
    <t>Weeks</t>
  </si>
  <si>
    <t>PoC</t>
  </si>
  <si>
    <t>Designer</t>
  </si>
  <si>
    <t>TL</t>
  </si>
  <si>
    <t>Engg</t>
  </si>
  <si>
    <t>Tech Stack</t>
  </si>
  <si>
    <t>React, ReactNative</t>
  </si>
  <si>
    <t>NestJS</t>
  </si>
  <si>
    <t>Postgres, Neptune, DynamoDB, Redshit</t>
  </si>
  <si>
    <t>Cloud</t>
  </si>
  <si>
    <t>AWS</t>
  </si>
  <si>
    <t>India</t>
  </si>
  <si>
    <t>High</t>
  </si>
  <si>
    <t xml:space="preserve">Column #: </t>
  </si>
  <si>
    <t>GenHRX</t>
  </si>
  <si>
    <t>Role</t>
  </si>
  <si>
    <t>Engineer</t>
  </si>
  <si>
    <t>Jr. Engineer</t>
  </si>
  <si>
    <t>Functional QA</t>
  </si>
  <si>
    <t>QA Engineer</t>
  </si>
  <si>
    <t>Sr. QA Engineer</t>
  </si>
  <si>
    <t>Jr. Project Manager</t>
  </si>
  <si>
    <t>Naveen</t>
  </si>
  <si>
    <t>Presenation like what we did for MPI</t>
  </si>
  <si>
    <t>Fill all the tech needs just like MPI</t>
  </si>
  <si>
    <t>Saikamal</t>
  </si>
  <si>
    <t>Project Plan with Road Map</t>
  </si>
  <si>
    <t>Customer has some technical questions, which we do not knwo at this point of time</t>
  </si>
  <si>
    <t>Customer asking if Naveen can attend the call</t>
  </si>
  <si>
    <t>Gopal</t>
  </si>
  <si>
    <t>Solution Architecture</t>
  </si>
  <si>
    <t>Infra Architecture</t>
  </si>
  <si>
    <t>Costing of Infra</t>
  </si>
  <si>
    <t>Storage engine details</t>
  </si>
  <si>
    <t>What we choose and how do we manager
Content coming from User (Posts, Chats, Resources) - Storage as such and Search Index - Here we need to make a call on how do we seperate and manage or we keep all at once (Elastic Search doubles up as storage as well as index for Unstructured content) - Issue is linking between users and their respective content pointers (this piece could be managed separately?)</t>
  </si>
  <si>
    <t>Performance in Search and Listing</t>
  </si>
  <si>
    <t>Harsha</t>
  </si>
  <si>
    <t>We need to provide the direction to the implementation</t>
  </si>
  <si>
    <t>Define MVP in design</t>
  </si>
  <si>
    <t>Connect it with Engineering plan</t>
  </si>
  <si>
    <t>Rakesh</t>
  </si>
  <si>
    <t>1. Tech stack</t>
  </si>
  <si>
    <t>2. Managing the storage (Resoruces and Library Module)</t>
  </si>
  <si>
    <t>3. Uploading files (Question around storage size)</t>
  </si>
  <si>
    <t>4. Newsfeed (Contnet feed management)</t>
  </si>
  <si>
    <t xml:space="preserve">What are we building in the MVP and why? 
-Was asking for end-to-end platform 
- Milestone wise differentation </t>
  </si>
  <si>
    <t xml:space="preserve">Key Modules </t>
  </si>
  <si>
    <t xml:space="preserve">-Onbaording </t>
  </si>
  <si>
    <t xml:space="preserve">-Feed discovery and creating content </t>
  </si>
  <si>
    <t>-Discussion rooms ( this will lead to summary)</t>
  </si>
  <si>
    <t xml:space="preserve">-Marketplace(Intent based discovery or search based) </t>
  </si>
  <si>
    <t>- Resoruces and Library</t>
  </si>
  <si>
    <t>-Profile and settings</t>
  </si>
  <si>
    <t>Why CLPG</t>
  </si>
  <si>
    <t>High level vision for the MVP ( Community led product growth)</t>
  </si>
  <si>
    <t>Start small and grow</t>
  </si>
  <si>
    <t>- Expression of thought and enagement (Reword this something around engagement realted to building online communities)</t>
  </si>
  <si>
    <t xml:space="preserve">- Access to thought leadership contnet </t>
  </si>
  <si>
    <t xml:space="preserve">Infleuncers can bring more HR folks onto the paltform </t>
  </si>
  <si>
    <t>- Trusted and proven resources (Libraray)</t>
  </si>
  <si>
    <t>Lived examples of HR that can be used by the community (Example of bringing therapy dog)</t>
  </si>
  <si>
    <t>Features under these three pillars</t>
  </si>
  <si>
    <t xml:space="preserve">Engineering </t>
  </si>
  <si>
    <t xml:space="preserve">AI search </t>
  </si>
  <si>
    <t xml:space="preserve">Storage | There is also personal storage aspect to it </t>
  </si>
  <si>
    <t xml:space="preserve">Performance is always critical </t>
  </si>
  <si>
    <t>Understadnign the coomunity</t>
  </si>
  <si>
    <t xml:space="preserve">Community to the content </t>
  </si>
  <si>
    <t xml:space="preserve">Search on top of it </t>
  </si>
  <si>
    <t>Purpose</t>
  </si>
  <si>
    <t>Contents</t>
  </si>
  <si>
    <t>Slide-1</t>
  </si>
  <si>
    <t>Slide-2</t>
  </si>
  <si>
    <t>Table of contents</t>
  </si>
  <si>
    <t>Slide-3</t>
  </si>
  <si>
    <t>Executive Summary</t>
  </si>
  <si>
    <t>Slide-4</t>
  </si>
  <si>
    <t xml:space="preserve">The vision </t>
  </si>
  <si>
    <t>Slide-5</t>
  </si>
  <si>
    <t xml:space="preserve">Focus areas features </t>
  </si>
  <si>
    <t>Slide-6</t>
  </si>
  <si>
    <t xml:space="preserve">Solution archtiecure </t>
  </si>
  <si>
    <t>Slide-7</t>
  </si>
  <si>
    <t xml:space="preserve">Runtime </t>
  </si>
  <si>
    <t>Slide-8</t>
  </si>
  <si>
    <t>Question and answers</t>
  </si>
  <si>
    <t>Slide-9</t>
  </si>
  <si>
    <t>Security,storage, media, search, AI, performance and scalability, Comliance (GDPR, PII, DPDP)
How do we monitor the content Human assitance and AI should be answered in security)</t>
  </si>
  <si>
    <t>Slide-10</t>
  </si>
  <si>
    <t>Slide-11</t>
  </si>
  <si>
    <t>Slide-12</t>
  </si>
  <si>
    <t>Slide-13</t>
  </si>
  <si>
    <t>Slide-14</t>
  </si>
  <si>
    <t>Slide-15</t>
  </si>
  <si>
    <t>Slide-16</t>
  </si>
  <si>
    <t>Slide-17</t>
  </si>
  <si>
    <t>Slide-18</t>
  </si>
  <si>
    <t>Slide-19</t>
  </si>
  <si>
    <t>Slide-20</t>
  </si>
  <si>
    <t>Slide-21</t>
  </si>
  <si>
    <t>Slide-22</t>
  </si>
  <si>
    <t>Slide-23</t>
  </si>
  <si>
    <t>Slide-24</t>
  </si>
  <si>
    <t>Slide-25</t>
  </si>
  <si>
    <t>Slide-26</t>
  </si>
  <si>
    <t>Slide-27</t>
  </si>
  <si>
    <t>Slide-28</t>
  </si>
  <si>
    <t>Engagement</t>
  </si>
  <si>
    <t>Thought leadership content</t>
  </si>
  <si>
    <t>Resoruces Library</t>
  </si>
  <si>
    <t>Community &amp; Collaboration</t>
  </si>
  <si>
    <t>Insights &amp; Thought Leadership</t>
  </si>
  <si>
    <t>Resources &amp; Knowledge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</si>
</sst>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[&gt;9999999]###\,##\,##\,##0;[&gt;99999]###\,##\,##0;##,##0;"/>
    <numFmt numFmtId="166" formatCode="mmmm d"/>
    <numFmt numFmtId="167" formatCode="₹ [&gt;9999999]###\,##\,##\,##0;₹ [&gt;99999]###\,##\,##0;₹ ##,##0;"/>
    <numFmt numFmtId="168" formatCode="&quot;$&quot;#,##0"/>
  </numFmts>
  <fonts count="14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rgb="FFFFFFFF"/>
      <name val="Arial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b/>
      <sz val="14.0"/>
      <color theme="1"/>
      <name val="Arial"/>
    </font>
    <font>
      <b/>
      <sz val="11.0"/>
      <color theme="1"/>
      <name val="Arial"/>
    </font>
    <font>
      <sz val="11.0"/>
      <color rgb="FF000000"/>
      <name val="Mulish"/>
    </font>
    <font>
      <b/>
      <sz val="12.0"/>
      <color theme="1"/>
      <name val="Arial"/>
    </font>
    <font/>
  </fonts>
  <fills count="9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</fills>
  <borders count="17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2" fontId="1" numFmtId="0" xfId="0" applyAlignment="1" applyFont="1">
      <alignment horizontal="left" shrinkToFit="0" vertical="top" wrapText="1"/>
    </xf>
    <xf borderId="0" fillId="2" fontId="1" numFmtId="0" xfId="0" applyAlignment="1" applyFont="1">
      <alignment shrinkToFit="0" vertical="top" wrapText="1"/>
    </xf>
    <xf borderId="0" fillId="2" fontId="2" numFmtId="0" xfId="0" applyAlignment="1" applyFont="1">
      <alignment shrinkToFit="0" vertical="top" wrapText="1"/>
    </xf>
    <xf borderId="0" fillId="0" fontId="3" numFmtId="0" xfId="0" applyFont="1"/>
    <xf borderId="0" fillId="0" fontId="3" numFmtId="0" xfId="0" applyAlignment="1" applyFont="1">
      <alignment shrinkToFit="0" wrapText="1"/>
    </xf>
    <xf borderId="0" fillId="3" fontId="4" numFmtId="0" xfId="0" applyAlignment="1" applyFill="1" applyFont="1">
      <alignment horizontal="center" shrinkToFit="0" vertical="top" wrapText="1"/>
    </xf>
    <xf borderId="1" fillId="0" fontId="4" numFmtId="0" xfId="0" applyAlignment="1" applyBorder="1" applyFont="1">
      <alignment horizontal="center" readingOrder="0" shrinkToFit="0" vertical="top" wrapText="1"/>
    </xf>
    <xf borderId="0" fillId="0" fontId="4" numFmtId="0" xfId="0" applyAlignment="1" applyFont="1">
      <alignment horizontal="center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1" xfId="0" applyAlignment="1" applyFont="1" applyNumberFormat="1">
      <alignment horizontal="center" shrinkToFit="0" vertical="top" wrapText="1"/>
    </xf>
    <xf borderId="0" fillId="0" fontId="4" numFmtId="1" xfId="0" applyAlignment="1" applyFont="1" applyNumberFormat="1">
      <alignment horizontal="center" readingOrder="0"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vertical="top" wrapText="1"/>
    </xf>
    <xf borderId="0" fillId="3" fontId="3" numFmtId="0" xfId="0" applyAlignment="1" applyFont="1">
      <alignment vertical="bottom"/>
    </xf>
    <xf borderId="0" fillId="3" fontId="3" numFmtId="0" xfId="0" applyAlignment="1" applyFont="1">
      <alignment shrinkToFit="0" vertical="bottom" wrapText="1"/>
    </xf>
    <xf borderId="0" fillId="3" fontId="3" numFmtId="0" xfId="0" applyAlignment="1" applyFont="1">
      <alignment readingOrder="0" shrinkToFit="0" vertical="bottom" wrapText="1"/>
    </xf>
    <xf borderId="0" fillId="3" fontId="3" numFmtId="0" xfId="0" applyAlignment="1" applyFont="1">
      <alignment horizontal="center" shrinkToFit="0" vertical="top" wrapText="1"/>
    </xf>
    <xf borderId="1" fillId="3" fontId="3" numFmtId="0" xfId="0" applyAlignment="1" applyBorder="1" applyFont="1">
      <alignment horizontal="center" shrinkToFit="0" vertical="top" wrapText="1"/>
    </xf>
    <xf borderId="1" fillId="3" fontId="3" numFmtId="0" xfId="0" applyAlignment="1" applyBorder="1" applyFont="1">
      <alignment horizontal="center" shrinkToFit="0" vertical="top" wrapText="1"/>
    </xf>
    <xf borderId="0" fillId="0" fontId="3" numFmtId="1" xfId="0" applyAlignment="1" applyFont="1" applyNumberFormat="1">
      <alignment horizontal="center" shrinkToFit="0" vertical="top" wrapText="1"/>
    </xf>
    <xf borderId="0" fillId="0" fontId="3" numFmtId="0" xfId="0" applyAlignment="1" applyFont="1">
      <alignment vertical="top"/>
    </xf>
    <xf borderId="0" fillId="0" fontId="3" numFmtId="1" xfId="0" applyAlignment="1" applyFont="1" applyNumberFormat="1">
      <alignment vertical="top"/>
    </xf>
    <xf borderId="1" fillId="3" fontId="3" numFmtId="0" xfId="0" applyAlignment="1" applyBorder="1" applyFont="1">
      <alignment horizontal="center" readingOrder="0" shrinkToFit="0" vertical="top" wrapText="1"/>
    </xf>
    <xf borderId="0" fillId="4" fontId="3" numFmtId="0" xfId="0" applyAlignment="1" applyFill="1" applyFont="1">
      <alignment vertical="bottom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readingOrder="0" shrinkToFit="0" vertical="bottom" wrapText="1"/>
    </xf>
    <xf borderId="0" fillId="4" fontId="3" numFmtId="0" xfId="0" applyAlignment="1" applyFont="1">
      <alignment horizontal="center" shrinkToFit="0" vertical="top" wrapText="1"/>
    </xf>
    <xf borderId="1" fillId="4" fontId="3" numFmtId="0" xfId="0" applyAlignment="1" applyBorder="1" applyFont="1">
      <alignment horizontal="center" shrinkToFit="0" vertical="top" wrapText="1"/>
    </xf>
    <xf borderId="0" fillId="5" fontId="3" numFmtId="0" xfId="0" applyAlignment="1" applyFill="1" applyFont="1">
      <alignment readingOrder="0"/>
    </xf>
    <xf borderId="1" fillId="4" fontId="3" numFmtId="0" xfId="0" applyAlignment="1" applyBorder="1" applyFont="1">
      <alignment horizontal="center" readingOrder="0" shrinkToFit="0" vertical="top" wrapText="1"/>
    </xf>
    <xf borderId="1" fillId="4" fontId="3" numFmtId="0" xfId="0" applyAlignment="1" applyBorder="1" applyFont="1">
      <alignment horizontal="center" shrinkToFit="0" vertical="top" wrapText="1"/>
    </xf>
    <xf borderId="0" fillId="0" fontId="3" numFmtId="1" xfId="0" applyAlignment="1" applyFont="1" applyNumberFormat="1">
      <alignment readingOrder="0" vertical="top"/>
    </xf>
    <xf borderId="0" fillId="4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3" fontId="4" numFmtId="0" xfId="0" applyAlignment="1" applyFont="1">
      <alignment horizontal="center" readingOrder="0" shrinkToFit="0" vertical="top" wrapText="1"/>
    </xf>
    <xf borderId="0" fillId="4" fontId="3" numFmtId="0" xfId="0" applyAlignment="1" applyFont="1">
      <alignment vertical="bottom"/>
    </xf>
    <xf borderId="0" fillId="4" fontId="3" numFmtId="0" xfId="0" applyAlignment="1" applyFont="1">
      <alignment horizontal="center" shrinkToFit="0" vertical="top" wrapText="1"/>
    </xf>
    <xf borderId="0" fillId="4" fontId="4" numFmtId="0" xfId="0" applyAlignment="1" applyFont="1">
      <alignment horizontal="center" readingOrder="0" shrinkToFit="0" vertical="top" wrapText="1"/>
    </xf>
    <xf borderId="1" fillId="4" fontId="4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textRotation="0" wrapText="1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3" numFmtId="0" xfId="0" applyAlignment="1" applyFont="1">
      <alignment readingOrder="0" shrinkToFit="0" textRotation="0" wrapText="1"/>
    </xf>
    <xf borderId="0" fillId="0" fontId="4" numFmtId="0" xfId="0" applyAlignment="1" applyFont="1">
      <alignment shrinkToFit="0" vertical="top" wrapText="1"/>
    </xf>
    <xf borderId="0" fillId="3" fontId="4" numFmtId="0" xfId="0" applyAlignment="1" applyFont="1">
      <alignment horizontal="center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0" fillId="3" fontId="3" numFmtId="0" xfId="0" applyAlignment="1" applyFont="1">
      <alignment vertical="top"/>
    </xf>
    <xf borderId="1" fillId="0" fontId="3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3" numFmtId="1" xfId="0" applyAlignment="1" applyFont="1" applyNumberFormat="1">
      <alignment horizontal="center" readingOrder="0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2" fillId="0" fontId="4" numFmtId="0" xfId="0" applyAlignment="1" applyBorder="1" applyFont="1">
      <alignment shrinkToFit="0" vertical="top" wrapText="1"/>
    </xf>
    <xf borderId="2" fillId="0" fontId="6" numFmtId="0" xfId="0" applyAlignment="1" applyBorder="1" applyFont="1">
      <alignment shrinkToFit="0" vertical="top" wrapText="1"/>
    </xf>
    <xf borderId="2" fillId="0" fontId="6" numFmtId="0" xfId="0" applyAlignment="1" applyBorder="1" applyFont="1">
      <alignment horizontal="center" shrinkToFit="0" vertical="top" wrapText="1"/>
    </xf>
    <xf borderId="2" fillId="0" fontId="4" numFmtId="0" xfId="0" applyAlignment="1" applyBorder="1" applyFont="1">
      <alignment horizontal="center" shrinkToFit="0" vertical="top" wrapText="1"/>
    </xf>
    <xf borderId="2" fillId="0" fontId="6" numFmtId="1" xfId="0" applyAlignment="1" applyBorder="1" applyFont="1" applyNumberFormat="1">
      <alignment horizontal="center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shrinkToFit="0" wrapText="1"/>
    </xf>
    <xf borderId="0" fillId="0" fontId="5" numFmtId="0" xfId="0" applyFont="1"/>
    <xf borderId="0" fillId="0" fontId="7" numFmtId="0" xfId="0" applyFont="1"/>
    <xf borderId="0" fillId="0" fontId="3" numFmtId="0" xfId="0" applyAlignment="1" applyFont="1">
      <alignment horizontal="center"/>
    </xf>
    <xf borderId="0" fillId="0" fontId="5" numFmtId="1" xfId="0" applyFont="1" applyNumberFormat="1"/>
    <xf borderId="0" fillId="0" fontId="7" numFmtId="1" xfId="0" applyFont="1" applyNumberFormat="1"/>
    <xf borderId="0" fillId="0" fontId="3" numFmtId="1" xfId="0" applyAlignment="1" applyFont="1" applyNumberFormat="1">
      <alignment horizontal="right"/>
    </xf>
    <xf borderId="0" fillId="0" fontId="8" numFmtId="0" xfId="0" applyAlignment="1" applyFont="1">
      <alignment readingOrder="0"/>
    </xf>
    <xf borderId="0" fillId="0" fontId="7" numFmtId="164" xfId="0" applyAlignment="1" applyFont="1" applyNumberFormat="1">
      <alignment horizontal="center" readingOrder="0"/>
    </xf>
    <xf borderId="0" fillId="0" fontId="7" numFmtId="1" xfId="0" applyAlignment="1" applyFont="1" applyNumberFormat="1">
      <alignment horizontal="right" readingOrder="0"/>
    </xf>
    <xf borderId="0" fillId="0" fontId="3" numFmtId="1" xfId="0" applyAlignment="1" applyFont="1" applyNumberFormat="1">
      <alignment horizontal="right" readingOrder="0"/>
    </xf>
    <xf borderId="0" fillId="0" fontId="3" numFmtId="0" xfId="0" applyAlignment="1" applyFont="1">
      <alignment horizontal="right"/>
    </xf>
    <xf borderId="0" fillId="0" fontId="3" numFmtId="1" xfId="0" applyFont="1" applyNumberFormat="1"/>
    <xf borderId="0" fillId="0" fontId="5" numFmtId="10" xfId="0" applyFont="1" applyNumberFormat="1"/>
    <xf borderId="0" fillId="0" fontId="3" numFmtId="164" xfId="0" applyAlignment="1" applyFont="1" applyNumberFormat="1">
      <alignment horizontal="center" readingOrder="0"/>
    </xf>
    <xf borderId="0" fillId="0" fontId="3" numFmtId="9" xfId="0" applyAlignment="1" applyFont="1" applyNumberFormat="1">
      <alignment readingOrder="0"/>
    </xf>
    <xf borderId="0" fillId="0" fontId="5" numFmtId="1" xfId="0" applyAlignment="1" applyFont="1" applyNumberFormat="1">
      <alignment readingOrder="0"/>
    </xf>
    <xf borderId="0" fillId="0" fontId="8" numFmtId="0" xfId="0" applyFont="1"/>
    <xf borderId="0" fillId="0" fontId="3" numFmtId="0" xfId="0" applyAlignment="1" applyFont="1">
      <alignment horizontal="left"/>
    </xf>
    <xf borderId="0" fillId="0" fontId="3" numFmtId="165" xfId="0" applyFont="1" applyNumberFormat="1"/>
    <xf borderId="0" fillId="0" fontId="3" numFmtId="0" xfId="0" applyFont="1"/>
    <xf borderId="0" fillId="0" fontId="3" numFmtId="0" xfId="0" applyAlignment="1" applyFont="1">
      <alignment horizontal="right" vertical="bottom"/>
    </xf>
    <xf borderId="0" fillId="0" fontId="3" numFmtId="164" xfId="0" applyFont="1" applyNumberFormat="1"/>
    <xf borderId="0" fillId="0" fontId="3" numFmtId="0" xfId="0" applyAlignment="1" applyFont="1">
      <alignment horizontal="right" readingOrder="0" vertical="bottom"/>
    </xf>
    <xf borderId="0" fillId="0" fontId="3" numFmtId="2" xfId="0" applyFont="1" applyNumberFormat="1"/>
    <xf borderId="0" fillId="0" fontId="9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7" numFmtId="166" xfId="0" applyAlignment="1" applyFont="1" applyNumberFormat="1">
      <alignment vertical="bottom"/>
    </xf>
    <xf borderId="0" fillId="0" fontId="7" numFmtId="166" xfId="0" applyAlignment="1" applyFont="1" applyNumberFormat="1">
      <alignment horizontal="right" vertical="bottom"/>
    </xf>
    <xf borderId="0" fillId="0" fontId="3" numFmtId="2" xfId="0" applyAlignment="1" applyFont="1" applyNumberFormat="1">
      <alignment horizontal="right" vertical="bottom"/>
    </xf>
    <xf borderId="0" fillId="0" fontId="3" numFmtId="2" xfId="0" applyAlignment="1" applyFont="1" applyNumberFormat="1">
      <alignment vertical="bottom"/>
    </xf>
    <xf borderId="0" fillId="0" fontId="10" numFmtId="0" xfId="0" applyAlignment="1" applyFont="1">
      <alignment vertical="bottom"/>
    </xf>
    <xf borderId="0" fillId="0" fontId="7" numFmtId="2" xfId="0" applyAlignment="1" applyFont="1" applyNumberFormat="1">
      <alignment horizontal="right" vertical="bottom"/>
    </xf>
    <xf borderId="0" fillId="0" fontId="10" numFmtId="167" xfId="0" applyFont="1" applyNumberFormat="1"/>
    <xf borderId="0" fillId="0" fontId="11" numFmtId="0" xfId="0" applyFont="1"/>
    <xf borderId="3" fillId="0" fontId="7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2" fillId="6" fontId="12" numFmtId="0" xfId="0" applyAlignment="1" applyBorder="1" applyFill="1" applyFont="1">
      <alignment horizontal="left" shrinkToFit="0" vertical="top" wrapText="1"/>
    </xf>
    <xf borderId="4" fillId="6" fontId="12" numFmtId="0" xfId="0" applyAlignment="1" applyBorder="1" applyFont="1">
      <alignment horizontal="left" shrinkToFit="0" vertical="top" wrapText="1"/>
    </xf>
    <xf borderId="3" fillId="7" fontId="10" numFmtId="0" xfId="0" applyAlignment="1" applyBorder="1" applyFill="1" applyFont="1">
      <alignment horizontal="left" shrinkToFit="0" vertical="top" wrapText="1"/>
    </xf>
    <xf borderId="0" fillId="7" fontId="3" numFmtId="0" xfId="0" applyAlignment="1" applyFont="1">
      <alignment horizontal="left" shrinkToFit="0" vertical="top" wrapText="1"/>
    </xf>
    <xf borderId="3" fillId="0" fontId="3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center"/>
    </xf>
    <xf borderId="0" fillId="0" fontId="4" numFmtId="0" xfId="0" applyFont="1"/>
    <xf borderId="5" fillId="0" fontId="7" numFmtId="0" xfId="0" applyAlignment="1" applyBorder="1" applyFont="1">
      <alignment shrinkToFit="0" vertical="bottom" wrapText="1"/>
    </xf>
    <xf borderId="5" fillId="0" fontId="7" numFmtId="0" xfId="0" applyAlignment="1" applyBorder="1" applyFont="1">
      <alignment horizontal="right" shrinkToFit="0" vertical="bottom" wrapText="1"/>
    </xf>
    <xf borderId="6" fillId="0" fontId="3" numFmtId="0" xfId="0" applyAlignment="1" applyBorder="1" applyFont="1">
      <alignment vertical="bottom"/>
    </xf>
    <xf borderId="6" fillId="0" fontId="3" numFmtId="1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vertical="bottom"/>
    </xf>
    <xf borderId="7" fillId="0" fontId="3" numFmtId="1" xfId="0" applyAlignment="1" applyBorder="1" applyFont="1" applyNumberFormat="1">
      <alignment horizontal="right" vertical="bottom"/>
    </xf>
    <xf borderId="5" fillId="0" fontId="7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8" fillId="0" fontId="12" numFmtId="0" xfId="0" applyAlignment="1" applyBorder="1" applyFont="1">
      <alignment vertical="bottom"/>
    </xf>
    <xf borderId="9" fillId="0" fontId="7" numFmtId="0" xfId="0" applyAlignment="1" applyBorder="1" applyFont="1">
      <alignment horizontal="center" vertical="bottom"/>
    </xf>
    <xf borderId="10" fillId="0" fontId="13" numFmtId="0" xfId="0" applyBorder="1" applyFont="1"/>
    <xf borderId="11" fillId="0" fontId="13" numFmtId="0" xfId="0" applyBorder="1" applyFont="1"/>
    <xf borderId="7" fillId="0" fontId="13" numFmtId="0" xfId="0" applyBorder="1" applyFont="1"/>
    <xf borderId="7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3" fillId="0" fontId="3" numFmtId="1" xfId="0" applyAlignment="1" applyBorder="1" applyFont="1" applyNumberFormat="1">
      <alignment horizontal="right" vertical="bottom"/>
    </xf>
    <xf borderId="12" fillId="0" fontId="3" numFmtId="0" xfId="0" applyAlignment="1" applyBorder="1" applyFont="1">
      <alignment vertical="bottom"/>
    </xf>
    <xf borderId="12" fillId="0" fontId="3" numFmtId="0" xfId="0" applyAlignment="1" applyBorder="1" applyFont="1">
      <alignment horizontal="right" vertical="bottom"/>
    </xf>
    <xf borderId="13" fillId="0" fontId="3" numFmtId="0" xfId="0" applyAlignment="1" applyBorder="1" applyFont="1">
      <alignment horizontal="right" vertical="bottom"/>
    </xf>
    <xf borderId="14" fillId="0" fontId="3" numFmtId="0" xfId="0" applyAlignment="1" applyBorder="1" applyFont="1">
      <alignment horizontal="right" vertical="bottom"/>
    </xf>
    <xf borderId="8" fillId="0" fontId="12" numFmtId="0" xfId="0" applyAlignment="1" applyBorder="1" applyFont="1">
      <alignment shrinkToFit="0" vertical="bottom" wrapText="1"/>
    </xf>
    <xf borderId="9" fillId="0" fontId="3" numFmtId="0" xfId="0" applyAlignment="1" applyBorder="1" applyFont="1">
      <alignment vertical="bottom"/>
    </xf>
    <xf borderId="15" fillId="0" fontId="3" numFmtId="0" xfId="0" applyAlignment="1" applyBorder="1" applyFont="1">
      <alignment vertical="bottom"/>
    </xf>
    <xf borderId="11" fillId="0" fontId="3" numFmtId="0" xfId="0" applyAlignment="1" applyBorder="1" applyFont="1">
      <alignment horizontal="right" vertical="bottom"/>
    </xf>
    <xf borderId="6" fillId="0" fontId="3" numFmtId="9" xfId="0" applyAlignment="1" applyBorder="1" applyFont="1" applyNumberFormat="1">
      <alignment horizontal="right" vertical="bottom"/>
    </xf>
    <xf borderId="7" fillId="0" fontId="3" numFmtId="9" xfId="0" applyAlignment="1" applyBorder="1" applyFont="1" applyNumberFormat="1">
      <alignment horizontal="right" vertical="bottom"/>
    </xf>
    <xf borderId="16" fillId="0" fontId="3" numFmtId="0" xfId="0" applyAlignment="1" applyBorder="1" applyFont="1">
      <alignment vertical="bottom"/>
    </xf>
    <xf borderId="10" fillId="0" fontId="7" numFmtId="0" xfId="0" applyAlignment="1" applyBorder="1" applyFont="1">
      <alignment horizontal="center" vertical="bottom"/>
    </xf>
    <xf borderId="14" fillId="0" fontId="3" numFmtId="0" xfId="0" applyAlignment="1" applyBorder="1" applyFont="1">
      <alignment vertical="bottom"/>
    </xf>
    <xf borderId="16" fillId="0" fontId="13" numFmtId="0" xfId="0" applyBorder="1" applyFont="1"/>
    <xf borderId="14" fillId="0" fontId="13" numFmtId="0" xfId="0" applyBorder="1" applyFont="1"/>
    <xf borderId="5" fillId="0" fontId="12" numFmtId="0" xfId="0" applyAlignment="1" applyBorder="1" applyFont="1">
      <alignment shrinkToFit="0" vertical="bottom" wrapText="1"/>
    </xf>
    <xf borderId="13" fillId="0" fontId="3" numFmtId="1" xfId="0" applyAlignment="1" applyBorder="1" applyFont="1" applyNumberFormat="1">
      <alignment horizontal="right" vertical="bottom"/>
    </xf>
    <xf borderId="14" fillId="0" fontId="3" numFmtId="1" xfId="0" applyAlignment="1" applyBorder="1" applyFont="1" applyNumberFormat="1">
      <alignment horizontal="right" vertical="bottom"/>
    </xf>
    <xf borderId="6" fillId="0" fontId="12" numFmtId="0" xfId="0" applyAlignment="1" applyBorder="1" applyFont="1">
      <alignment shrinkToFit="0" vertical="bottom" wrapText="1"/>
    </xf>
    <xf borderId="5" fillId="0" fontId="3" numFmtId="9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1"/>
    </xf>
    <xf borderId="0" fillId="0" fontId="3" numFmtId="4" xfId="0" applyAlignment="1" applyFont="1" applyNumberFormat="1">
      <alignment horizontal="right" vertical="bottom"/>
    </xf>
    <xf borderId="0" fillId="0" fontId="3" numFmtId="9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3" numFmtId="9" xfId="0" applyAlignment="1" applyFont="1" applyNumberFormat="1">
      <alignment vertical="top"/>
    </xf>
    <xf borderId="0" fillId="0" fontId="3" numFmtId="0" xfId="0" applyAlignment="1" applyFont="1">
      <alignment readingOrder="0"/>
    </xf>
    <xf borderId="0" fillId="0" fontId="3" numFmtId="168" xfId="0" applyAlignment="1" applyFont="1" applyNumberFormat="1">
      <alignment readingOrder="0" shrinkToFit="0" wrapText="1"/>
    </xf>
    <xf borderId="0" fillId="0" fontId="3" numFmtId="168" xfId="0" applyAlignment="1" applyFont="1" applyNumberFormat="1">
      <alignment shrinkToFit="0" wrapText="1"/>
    </xf>
    <xf borderId="0" fillId="0" fontId="9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8" fontId="5" numFmtId="0" xfId="0" applyAlignment="1" applyFill="1" applyFont="1">
      <alignment readingOrder="0"/>
    </xf>
    <xf borderId="0" fillId="3" fontId="5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1">
    <tableStyle count="2" pivot="0" name="Scope-style">
      <tableStyleElement dxfId="1" type="firstRowStripe"/>
      <tableStyleElement dxfId="2" type="secondRowStripe"/>
    </tableStyle>
    <tableStyle count="2" pivot="0" name="Scope-style 2">
      <tableStyleElement dxfId="2" type="firstRowStripe"/>
      <tableStyleElement dxfId="1" type="secondRowStripe"/>
    </tableStyle>
    <tableStyle count="2" pivot="0" name="Scope-style 3">
      <tableStyleElement dxfId="1" type="firstRowStripe"/>
      <tableStyleElement dxfId="2" type="secondRowStripe"/>
    </tableStyle>
    <tableStyle count="2" pivot="0" name="Scope-style 4">
      <tableStyleElement dxfId="1" type="firstRowStripe"/>
      <tableStyleElement dxfId="2" type="secondRowStripe"/>
    </tableStyle>
    <tableStyle count="2" pivot="0" name="Scope-style 5">
      <tableStyleElement dxfId="1" type="firstRowStripe"/>
      <tableStyleElement dxfId="2" type="secondRowStripe"/>
    </tableStyle>
    <tableStyle count="2" pivot="0" name="Scope-style 6">
      <tableStyleElement dxfId="1" type="firstRowStripe"/>
      <tableStyleElement dxfId="2" type="secondRowStripe"/>
    </tableStyle>
    <tableStyle count="2" pivot="0" name="Scope-style 7">
      <tableStyleElement dxfId="1" type="firstRowStripe"/>
      <tableStyleElement dxfId="2" type="secondRowStripe"/>
    </tableStyle>
    <tableStyle count="2" pivot="0" name="Scope-style 8">
      <tableStyleElement dxfId="1" type="firstRowStripe"/>
      <tableStyleElement dxfId="2" type="secondRowStripe"/>
    </tableStyle>
    <tableStyle count="2" pivot="0" name="Scope-style 9">
      <tableStyleElement dxfId="1" type="firstRowStripe"/>
      <tableStyleElement dxfId="2" type="secondRowStripe"/>
    </tableStyle>
    <tableStyle count="2" pivot="0" name="Scope-style 10">
      <tableStyleElement dxfId="1" type="firstRowStripe"/>
      <tableStyleElement dxfId="2" type="secondRowStripe"/>
    </tableStyle>
    <tableStyle count="2" pivot="0" name="Scope-style 11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U119" sheet="Scope"/>
  </cacheSource>
  <cacheFields>
    <cacheField name="Module" numFmtId="0">
      <sharedItems>
        <s v="Registration"/>
        <s v="Identification"/>
        <s v="First Time Experience"/>
        <s v="Discovery"/>
        <s v="Account Profile"/>
        <s v="Notification Hub"/>
        <s v="Personalized Home Feed"/>
        <s v="Message Section"/>
        <s v="Community Section"/>
        <s v="Influencer Feed"/>
        <s v="Contribution"/>
        <s v="Resource Library"/>
        <s v="Events &amp; AMAs"/>
        <s v="Buyer’s Guide / Sponsors"/>
        <s v="Recognition &amp; Reputation"/>
        <s v="Analytics"/>
        <s v="Trust &amp; Safety"/>
        <s v="Confessional Corner"/>
        <s v="Settings"/>
        <s v="Common Module"/>
        <s v="Bussiness Module"/>
        <s v="Database"/>
        <s v="DevOps"/>
        <s v="Feedback &amp; Bug fixing"/>
        <s v="Overheads (PM, PO, Arch)"/>
      </sharedItems>
    </cacheField>
    <cacheField name="Feature" numFmtId="0">
      <sharedItems containsBlank="1">
        <s v="Registration"/>
        <s v="Identification"/>
        <s v="First Time Experience"/>
        <s v="Discovery"/>
        <s v="Global Search"/>
        <s v="Account Profile"/>
        <s v="User Profile"/>
        <s v="Notification Hub"/>
        <s v="Personalized Home Feed"/>
        <s v="Home Feed"/>
        <s v="Message Section"/>
        <s v="Community section"/>
        <s v="Influencer Feed"/>
        <s v="Contribution"/>
        <s v="Resource Library"/>
        <s v="Events &amp; AMAs"/>
        <s v="Buyer’s Guide / Sponsors"/>
        <s v="Recognition &amp; Reputation"/>
        <s v="Analytics"/>
        <s v="Trust &amp; Safety"/>
        <s v="Confessional Corner"/>
        <s v="Settings"/>
        <s v="Account Settings"/>
        <s v="Billing/ for creators"/>
        <s v="App Settings"/>
        <s v="Privacy &amp; Safety"/>
        <s v="About"/>
        <s v="Interactions"/>
        <s v="Admin Controls"/>
        <s v="Admin Module"/>
        <s v="Profile Management"/>
        <s v="On-Boarding Process"/>
        <s v="Feed and Post Management"/>
        <s v="Collaboration"/>
        <s v="Event Management"/>
        <s v="Filter and Searching"/>
        <s v="Upload and Download management"/>
        <s v="Help &amp; Support"/>
        <s v="Dashboard &amp; Analytics "/>
        <s v="Action Module"/>
        <s v="Subscription Management"/>
        <s v="Streaming service"/>
        <s v="Anonymous Control"/>
        <s v="Notification managment"/>
        <s v="Data Security and Data Privacy"/>
        <s v="Payment Gateway"/>
        <s v="CMS "/>
        <s v="Authentication "/>
        <s v="RBAC"/>
        <s v="Cache managment"/>
        <s v="User managment"/>
        <s v="Monitoring"/>
        <s v="Audit-history"/>
        <s v="Archival"/>
        <s v="Orchestration Module"/>
        <s v="Admin Management"/>
        <s v="Database script management"/>
        <s v="Infrastructure Setup&#10;Pipeline Setup"/>
        <m/>
      </sharedItems>
    </cacheField>
    <cacheField name="Sub Feature" numFmtId="0">
      <sharedItems containsBlank="1">
        <s v="Email Signup"/>
        <s v="Google Signup "/>
        <s v="Linkedin Signup"/>
        <s v="Invite-Based Registration"/>
        <s v="Email Login"/>
        <s v="Linkedin Login"/>
        <s v="Google Login"/>
        <s v="Session Management"/>
        <s v="Welcome Flow"/>
        <s v="Role &amp; Profile Setup"/>
        <s v="Topic Preferences"/>
        <s v="First Action Nudges"/>
        <s v="Unified Search Bar"/>
        <s v="Search Filters"/>
        <s v="AI Semantic Search"/>
        <s v="Search Suggestions"/>
        <s v="Recent  Searches"/>
        <s v="People to follow"/>
        <s v="Basic Profile, KPIs"/>
        <s v="Proffesional experience section"/>
        <s v="List of own posts"/>
        <s v="Activity Overview"/>
        <s v="Badges &amp; Contributions"/>
        <s v="Privacy Controls"/>
        <s v="In-App Alerts"/>
        <s v="Email Notifications"/>
        <s v="Push Notifications"/>
        <s v="Notification Settings"/>
        <s v="Content Feed"/>
        <s v="Create new post"/>
        <s v="Feed Personalization"/>
        <s v="Interaction"/>
        <s v="Comments screen, interaction"/>
        <s v="Share post interaction"/>
        <s v="List of People, search function"/>
        <s v="Individual chat section"/>
        <s v="Individual chat settings"/>
        <s v="KPIs, Leaders follow section"/>
        <s v="Thought Leadership Posts, Inspiring Videos, Case Studies, AMA Highlights"/>
        <s v="Commenting, Liking, Sharing,Mute Topics,Follow / Unfollow Topics,Report Content"/>
        <s v="Ask Questions, Share Case Studies, Run Polls, Publish Short Insights / Articles"/>
        <s v="Tag Peers, Topic-based Discussions, Anonymous Posting "/>
        <s v="eBooks, Templates, Checklists"/>
        <s v="Categorization by Topic/Role, Search &amp; Filter Resources"/>
        <s v="User Ratings &amp; Reviews, Bookmark / Save for Later"/>
        <s v="Upcoming Live Sessions, Recording Library, Topic Filters / Search"/>
        <s v="Ask Questions Live, Chat with Attendees, RSVP / Calendar Integration"/>
        <s v="Contextual Sponsored Insights, Featured Recommendations"/>
        <s v="User Ratings &amp; Reviews, Lead Capture for Vendors"/>
        <s v="Achievement Badges, Contribution Streaks"/>
        <s v="Verified HR Credentials, Community Reputation Score"/>
        <s v="Topic Trends, Engagement Stats"/>
        <s v="Anonymized Insights, Content Performance, Audience Segmentation"/>
        <s v="Human + AI Moderation, Abuse / Spam Reporting"/>
        <s v="Community Guidelines, Privacy Controls / Data Management"/>
        <s v="Sensitive Topics Collaboration, Optional Expert Input, Thread Privacy Controls"/>
        <s v="Connected Accounts"/>
        <s v="Saved Posts, Archive Posts"/>
        <s v="Subscription Management"/>
        <s v="Creator tools, proffesional dashboard"/>
        <s v="Feed Controls"/>
        <s v="Anonymous Controls"/>
        <s v="General, theme settings"/>
        <s v="Notifications, language settings"/>
        <s v="Block / Mute Users"/>
        <s v="Account Privacy"/>
        <s v="Private account / Account preferences"/>
        <s v="Help Center"/>
        <s v="Contact Support"/>
        <s v="Deactivate Account"/>
        <s v="Delete Account"/>
        <s v="Messages, replies, tags, mentions, Comments, sharing"/>
        <s v="Mgmt Screen for admin controls"/>
        <s v="User Review and Act to delete or inactivate user&#10;User activity log&#10;Dashboard with emetrics on user patterns&#10;Resouce Mgmt Module"/>
        <m/>
        <s v="Topic-based Discussions, Anonymous Posting , Anonymous Discussions"/>
        <s v="Upcoming Live Sessions, Recording Library, Topic Filters / Search&#10;Ask Questions Live, Chat with Attendees, RSVP / Calendar Integration"/>
        <s v="Unified Search Bar, Search Filters ,AI Semantic Search, Search Suggestions, Recent  Searches"/>
        <s v="Chat, Comment, Like, Share, Rate and Review.&#10;This a independent module which can be attach to any module like feed, live-streaming, posts, Help &amp; support"/>
        <s v="Real-Time Communication"/>
      </sharedItems>
    </cacheField>
    <cacheField name="#pages" numFmtId="0">
      <sharedItems containsString="0" containsBlank="1" containsNumber="1" containsInteger="1">
        <n v="3.0"/>
        <n v="1.0"/>
        <n v="12.0"/>
        <n v="0.0"/>
        <m/>
      </sharedItems>
    </cacheField>
    <cacheField name="Complexity" numFmtId="0">
      <sharedItems>
        <s v="XS"/>
        <s v="S"/>
        <s v="M"/>
        <s v="L"/>
      </sharedItems>
    </cacheField>
    <cacheField name="Component " numFmtId="0">
      <sharedItems>
        <s v="Frontend"/>
        <s v="Backend"/>
      </sharedItems>
    </cacheField>
    <cacheField name="Form Factor" numFmtId="0">
      <sharedItems>
        <s v="Responsive"/>
      </sharedItems>
    </cacheField>
    <cacheField name="Milestone" numFmtId="0">
      <sharedItems>
        <s v="Phase 1"/>
        <s v="Phase 2"/>
        <s v="Phase 3"/>
      </sharedItems>
    </cacheField>
    <cacheField name="Design (hrs)" numFmtId="0">
      <sharedItems containsString="0" containsBlank="1">
        <m/>
      </sharedItems>
    </cacheField>
    <cacheField name="Web UI" numFmtId="1">
      <sharedItems containsSemiMixedTypes="0" containsString="0" containsNumber="1">
        <n v="6.0"/>
        <n v="5.0"/>
        <n v="3.900000000000002"/>
        <n v="9.0"/>
        <n v="8.900000000000002"/>
        <n v="6.900000000000002"/>
        <n v="18.900000000000002"/>
        <n v="40.95"/>
        <n v="2.900000000000002"/>
        <n v="74.76"/>
        <n v="0.0"/>
      </sharedItems>
    </cacheField>
    <cacheField name="Services" numFmtId="1">
      <sharedItems containsString="0" containsBlank="1" containsNumber="1">
        <n v="0.0"/>
        <n v="46.74"/>
        <n v="25.115000000000002"/>
        <n v="61.74"/>
        <n v="33.115"/>
        <n v="97.44"/>
        <n v="159.6"/>
        <n v="17.115000000000002"/>
        <n v="40.0"/>
        <m/>
        <n v="32.0"/>
        <n v="24.0"/>
      </sharedItems>
    </cacheField>
    <cacheField name="AI" numFmtId="0">
      <sharedItems containsString="0" containsBlank="1" containsNumber="1" containsInteger="1">
        <m/>
        <n v="24.0"/>
        <n v="40.0"/>
        <n v="80.0"/>
      </sharedItems>
    </cacheField>
    <cacheField name="Mobile UI" numFmtId="1">
      <sharedItems containsSemiMixedTypes="0" containsString="0" containsNumber="1">
        <n v="6.0"/>
        <n v="5.0"/>
        <n v="3.900000000000002"/>
        <n v="9.0"/>
        <n v="8.900000000000002"/>
        <n v="6.900000000000002"/>
        <n v="18.900000000000002"/>
        <n v="40.95"/>
        <n v="2.900000000000002"/>
        <n v="0.0"/>
      </sharedItems>
    </cacheField>
    <cacheField name="DevOps" numFmtId="0">
      <sharedItems containsString="0" containsBlank="1" containsNumber="1" containsInteger="1">
        <m/>
        <n v="64.0"/>
        <n v="32.0"/>
      </sharedItems>
    </cacheField>
    <cacheField name="PO" numFmtId="0">
      <sharedItems containsString="0" containsBlank="1" containsNumber="1" containsInteger="1">
        <m/>
        <n v="40.0"/>
      </sharedItems>
    </cacheField>
    <cacheField name="PM" numFmtId="0">
      <sharedItems containsString="0" containsBlank="1" containsNumber="1" containsInteger="1">
        <m/>
        <n v="40.0"/>
      </sharedItems>
    </cacheField>
    <cacheField name="Design Strategy" numFmtId="0">
      <sharedItems containsString="0" containsBlank="1">
        <m/>
      </sharedItems>
    </cacheField>
    <cacheField name="Architect" numFmtId="0">
      <sharedItems containsString="0" containsBlank="1" containsNumber="1" containsInteger="1">
        <m/>
        <n v="32.0"/>
        <n v="24.0"/>
      </sharedItems>
    </cacheField>
    <cacheField name="QA Manual" numFmtId="1">
      <sharedItems containsSemiMixedTypes="0" containsString="0" containsNumber="1">
        <n v="1.2000000000000002"/>
        <n v="1.0"/>
        <n v="0.7800000000000005"/>
        <n v="1.8"/>
        <n v="1.7800000000000005"/>
        <n v="1.3800000000000006"/>
        <n v="3.7800000000000007"/>
        <n v="8.190000000000001"/>
        <n v="0.5800000000000004"/>
        <n v="14.952000000000002"/>
        <n v="9.348"/>
        <n v="5.023000000000001"/>
        <n v="12.348"/>
        <n v="6.623000000000001"/>
        <n v="19.488"/>
        <n v="31.92"/>
        <n v="3.4230000000000005"/>
        <n v="0.0"/>
      </sharedItems>
    </cacheField>
    <cacheField name="QA Auto" numFmtId="1">
      <sharedItems containsSemiMixedTypes="0" containsString="0" containsNumber="1" containsInteger="1">
        <n v="6.0"/>
        <n v="12.0"/>
        <n v="20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Efforts Summary" cacheId="0" dataOnRows="1" dataCaption="" colGrandTotals="0" compact="0" compactData="0">
  <location ref="A1:D14" firstHeaderRow="0" firstDataRow="1" firstDataCol="1"/>
  <pivotFields>
    <pivotField name="Modu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Fea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Sub Fea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#pag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plexity" compact="0" outline="0" multipleItemSelectionAllowed="1" showAll="0">
      <items>
        <item x="0"/>
        <item x="1"/>
        <item x="2"/>
        <item x="3"/>
        <item t="default"/>
      </items>
    </pivotField>
    <pivotField name="Component " compact="0" outline="0" multipleItemSelectionAllowed="1" showAll="0">
      <items>
        <item x="0"/>
        <item x="1"/>
        <item t="default"/>
      </items>
    </pivotField>
    <pivotField name="Form Factor" compact="0" outline="0" multipleItemSelectionAllowed="1" showAll="0">
      <items>
        <item x="0"/>
        <item t="default"/>
      </items>
    </pivotField>
    <pivotField name="Milestone" axis="axisCol" compact="0" outline="0" multipleItemSelectionAllowed="1" showAll="0" sortType="ascending">
      <items>
        <item x="0"/>
        <item x="1"/>
        <item x="2"/>
        <item t="default"/>
      </items>
    </pivotField>
    <pivotField name="Design (hrs)" dataField="1" compact="0" outline="0" multipleItemSelectionAllowed="1" showAll="0">
      <items>
        <item x="0"/>
        <item t="default"/>
      </items>
    </pivotField>
    <pivotField name="Web UI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ervices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I" dataField="1" compact="0" outline="0" multipleItemSelectionAllowed="1" showAll="0">
      <items>
        <item x="0"/>
        <item x="1"/>
        <item x="2"/>
        <item x="3"/>
        <item t="default"/>
      </items>
    </pivotField>
    <pivotField name="Mobile UI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vOps" dataField="1" compact="0" outline="0" multipleItemSelectionAllowed="1" showAll="0">
      <items>
        <item x="0"/>
        <item x="1"/>
        <item x="2"/>
        <item t="default"/>
      </items>
    </pivotField>
    <pivotField name="PO" dataField="1" compact="0" outline="0" multipleItemSelectionAllowed="1" showAll="0">
      <items>
        <item x="0"/>
        <item x="1"/>
        <item t="default"/>
      </items>
    </pivotField>
    <pivotField name="PM" dataField="1" compact="0" outline="0" multipleItemSelectionAllowed="1" showAll="0">
      <items>
        <item x="0"/>
        <item x="1"/>
        <item t="default"/>
      </items>
    </pivotField>
    <pivotField name="Design Strategy" dataField="1" compact="0" outline="0" multipleItemSelectionAllowed="1" showAll="0">
      <items>
        <item x="0"/>
        <item t="default"/>
      </items>
    </pivotField>
    <pivotField name="Architect" dataField="1" compact="0" outline="0" multipleItemSelectionAllowed="1" showAll="0">
      <items>
        <item x="0"/>
        <item x="1"/>
        <item x="2"/>
        <item t="default"/>
      </items>
    </pivotField>
    <pivotField name="QA Manual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QA Auto" dataField="1" compact="0" numFmtId="1" outline="0" multipleItemSelectionAllowed="1" showAll="0">
      <items>
        <item x="0"/>
        <item x="1"/>
        <item x="2"/>
        <item x="3"/>
        <item t="default"/>
      </items>
    </pivotField>
  </pivotFields>
  <rowFields>
    <field x="-2"/>
  </rowFields>
  <colFields>
    <field x="7"/>
  </colFields>
  <dataFields>
    <dataField name="SUM of Design" fld="8" baseField="0"/>
    <dataField name="SUM of Web UI" fld="9" baseField="0"/>
    <dataField name="SUM of Services" fld="10" baseField="0"/>
    <dataField name="SUM of AI" fld="11" baseField="0"/>
    <dataField name="SUM of Mobile UI" fld="12" baseField="0"/>
    <dataField name="SUM of QA Manual" fld="18" baseField="0"/>
    <dataField name="SUM of QA Auto" fld="19" baseField="0"/>
    <dataField name="SUM of DevOps" fld="13" baseField="0"/>
    <dataField name="SUM of PO" fld="14" baseField="0"/>
    <dataField name="SUM of PM" fld="15" baseField="0"/>
    <dataField name="SUM of Design Strategy" fld="16" baseField="0"/>
    <dataField name="SUM of Architect" fld="17" baseField="0"/>
  </dataFields>
</pivotTableDefinition>
</file>

<file path=xl/tables/table1.xml><?xml version="1.0" encoding="utf-8"?>
<table xmlns="http://schemas.openxmlformats.org/spreadsheetml/2006/main" headerRowCount="0" ref="A2:I75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cope-style" showColumnStripes="0" showFirstColumn="1" showLastColumn="1" showRowStripes="1"/>
</table>
</file>

<file path=xl/tables/table2.xml><?xml version="1.0" encoding="utf-8"?>
<table xmlns="http://schemas.openxmlformats.org/spreadsheetml/2006/main" headerRowCount="0" ref="A76:I76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cope-style 2" showColumnStripes="0" showFirstColumn="1" showLastColumn="1" showRowStripes="1"/>
</table>
</file>

<file path=xl/tables/table3.xml><?xml version="1.0" encoding="utf-8"?>
<table xmlns="http://schemas.openxmlformats.org/spreadsheetml/2006/main" headerRowCount="0" ref="C93:D93" displayName="Table_3" name="Table_3" id="3">
  <tableColumns count="2">
    <tableColumn name="Column1" id="1"/>
    <tableColumn name="Column2" id="2"/>
  </tableColumns>
  <tableStyleInfo name="Scope-style 3" showColumnStripes="0" showFirstColumn="1" showLastColumn="1" showRowStripes="1"/>
</table>
</file>

<file path=xl/tables/table4.xml><?xml version="1.0" encoding="utf-8"?>
<table xmlns="http://schemas.openxmlformats.org/spreadsheetml/2006/main" headerRowCount="0" ref="A94:I94" displayName="Table_4" name="Table_4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cope-style 4" showColumnStripes="0" showFirstColumn="1" showLastColumn="1" showRowStripes="1"/>
</table>
</file>

<file path=xl/tables/table5.xml><?xml version="1.0" encoding="utf-8"?>
<table xmlns="http://schemas.openxmlformats.org/spreadsheetml/2006/main" headerRowCount="0" ref="C95:D95" displayName="Table_5" name="Table_5" id="5">
  <tableColumns count="2">
    <tableColumn name="Column1" id="1"/>
    <tableColumn name="Column2" id="2"/>
  </tableColumns>
  <tableStyleInfo name="Scope-style 5" showColumnStripes="0" showFirstColumn="1" showLastColumn="1" showRowStripes="1"/>
</table>
</file>

<file path=xl/tables/table6.xml><?xml version="1.0" encoding="utf-8"?>
<table xmlns="http://schemas.openxmlformats.org/spreadsheetml/2006/main" headerRowCount="0" ref="A108:I108" displayName="Table_6" name="Table_6" id="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cope-style 6" showColumnStripes="0" showFirstColumn="1" showLastColumn="1" showRowStripes="1"/>
</table>
</file>

<file path=xl/tables/table7.xml><?xml version="1.0" encoding="utf-8"?>
<table xmlns="http://schemas.openxmlformats.org/spreadsheetml/2006/main" headerRowCount="0" ref="A109:I109" displayName="Table_7" name="Table_7" id="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cope-style 7" showColumnStripes="0" showFirstColumn="1" showLastColumn="1" showRowStripes="1"/>
</table>
</file>

<file path=xl/tables/table8.xml><?xml version="1.0" encoding="utf-8"?>
<table xmlns="http://schemas.openxmlformats.org/spreadsheetml/2006/main" headerRowCount="0" ref="A112:I112" displayName="Table_8" name="Table_8" id="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cope-style 8" showColumnStripes="0" showFirstColumn="1" showLastColumn="1" showRowStripes="1"/>
</table>
</file>

<file path=xl/tables/table9.xml><?xml version="1.0" encoding="utf-8"?>
<table xmlns="http://schemas.openxmlformats.org/spreadsheetml/2006/main" headerRowCount="0" ref="A113:I113" displayName="Table_9" name="Table_9" id="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cope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116:I116" displayName="Table_10" name="Table_10" id="1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cope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A117:I117" displayName="Table_11" name="Table_11" id="1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cope-style 1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0" Type="http://schemas.openxmlformats.org/officeDocument/2006/relationships/table" Target="../tables/table8.xml"/><Relationship Id="rId22" Type="http://schemas.openxmlformats.org/officeDocument/2006/relationships/table" Target="../tables/table10.xml"/><Relationship Id="rId21" Type="http://schemas.openxmlformats.org/officeDocument/2006/relationships/table" Target="../tables/table9.xml"/><Relationship Id="rId13" Type="http://schemas.openxmlformats.org/officeDocument/2006/relationships/table" Target="../tables/table1.xml"/><Relationship Id="rId23" Type="http://schemas.openxmlformats.org/officeDocument/2006/relationships/table" Target="../tables/table11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5.5"/>
    <col customWidth="1" min="2" max="2" width="20.88"/>
    <col customWidth="1" min="3" max="3" width="24.13"/>
    <col customWidth="1" min="4" max="4" width="30.38"/>
    <col customWidth="1" min="5" max="5" width="10.25"/>
    <col customWidth="1" min="6" max="6" width="15.75"/>
    <col customWidth="1" min="7" max="7" width="13.5"/>
    <col customWidth="1" min="8" max="8" width="19.13"/>
    <col customWidth="1" min="9" max="9" width="13.5"/>
    <col customWidth="1" min="10" max="10" width="10.38"/>
    <col customWidth="1" min="11" max="11" width="13.5"/>
    <col customWidth="1" min="12" max="12" width="12.25"/>
    <col customWidth="1" min="13" max="13" width="10.25"/>
    <col customWidth="1" min="14" max="14" width="14.13"/>
    <col customWidth="1" min="15" max="15" width="14.38"/>
    <col customWidth="1" min="16" max="16" width="12.75"/>
    <col customWidth="1" min="17" max="17" width="10.25"/>
    <col customWidth="1" min="18" max="18" width="18.63"/>
    <col customWidth="1" min="19" max="19" width="14.63"/>
    <col customWidth="1" min="20" max="20" width="15.38"/>
    <col customWidth="1" min="21" max="21" width="13.75"/>
    <col customWidth="1" min="22" max="22" width="13.63"/>
    <col customWidth="1" min="23" max="23" width="8.25"/>
    <col customWidth="1" min="24" max="25" width="10.25"/>
    <col customWidth="1" min="28" max="28" width="18.0"/>
    <col customWidth="1" min="29" max="29" width="42.13"/>
    <col customWidth="1" min="33" max="33" width="4.63"/>
    <col customWidth="1" min="34" max="34" width="13.88"/>
    <col customWidth="1" min="35" max="35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4"/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>
      <c r="A2" s="5"/>
      <c r="B2" s="6" t="s">
        <v>28</v>
      </c>
      <c r="C2" s="6" t="s">
        <v>28</v>
      </c>
      <c r="D2" s="6" t="s">
        <v>29</v>
      </c>
      <c r="E2" s="7">
        <v>3.0</v>
      </c>
      <c r="F2" s="8" t="s">
        <v>30</v>
      </c>
      <c r="G2" s="9" t="s">
        <v>31</v>
      </c>
      <c r="H2" s="10" t="s">
        <v>32</v>
      </c>
      <c r="I2" s="11" t="s">
        <v>33</v>
      </c>
      <c r="J2" s="12"/>
      <c r="K2" s="13">
        <v>6.0</v>
      </c>
      <c r="L2" s="12">
        <f>(IF(OR($G2="Backend"), VLOOKUP($F2,Effort_Estimate_Guidelines,2,FALSE), "")) - $Z2</f>
        <v>0</v>
      </c>
      <c r="M2" s="14"/>
      <c r="N2" s="13">
        <v>6.0</v>
      </c>
      <c r="O2" s="14"/>
      <c r="P2" s="12"/>
      <c r="Q2" s="14"/>
      <c r="R2" s="14"/>
      <c r="S2" s="14"/>
      <c r="T2" s="12">
        <f t="shared" ref="T2:T107" si="1">(SUM(K2:L2) * 0.2)</f>
        <v>1.2</v>
      </c>
      <c r="U2" s="12">
        <f>(IF(AND($G2="Frontend",OR($H2="Responsive", $H2="Web")), VLOOKUP($F2,Effort_Estimate_Guidelines,VLOOKUP($H2,FormFactorGuidelines,4,FALSE),FALSE), "")) - $AB2</f>
        <v>6</v>
      </c>
      <c r="V2" s="12">
        <f t="shared" ref="V2:V120" si="2">SUM(J2:U2)</f>
        <v>19.2</v>
      </c>
      <c r="W2" s="15"/>
      <c r="X2" s="12"/>
      <c r="Y2" s="13">
        <v>15.0</v>
      </c>
      <c r="Z2" s="12"/>
      <c r="AA2" s="13">
        <v>15.0</v>
      </c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>
      <c r="A3" s="5"/>
      <c r="B3" s="6" t="s">
        <v>28</v>
      </c>
      <c r="C3" s="6" t="s">
        <v>28</v>
      </c>
      <c r="D3" s="16" t="s">
        <v>34</v>
      </c>
      <c r="E3" s="7">
        <v>3.0</v>
      </c>
      <c r="F3" s="8" t="s">
        <v>30</v>
      </c>
      <c r="G3" s="9" t="s">
        <v>31</v>
      </c>
      <c r="H3" s="10" t="s">
        <v>32</v>
      </c>
      <c r="I3" s="11" t="s">
        <v>35</v>
      </c>
      <c r="J3" s="12"/>
      <c r="K3" s="13">
        <v>6.0</v>
      </c>
      <c r="L3" s="12">
        <f>(IF(OR($G3="Backend"), VLOOKUP($F3,Effort_Estimate_Guidelines,2,FALSE), "")) - $Z3</f>
        <v>0</v>
      </c>
      <c r="M3" s="14"/>
      <c r="N3" s="13">
        <v>6.0</v>
      </c>
      <c r="O3" s="14"/>
      <c r="P3" s="12"/>
      <c r="Q3" s="14"/>
      <c r="R3" s="14"/>
      <c r="S3" s="14"/>
      <c r="T3" s="12">
        <f t="shared" si="1"/>
        <v>1.2</v>
      </c>
      <c r="U3" s="12">
        <f>(IF(AND($G3="Frontend",OR($H3="Responsive", $H3="Web")), VLOOKUP($F3,Effort_Estimate_Guidelines,VLOOKUP($H3,FormFactorGuidelines,4,FALSE),FALSE), "")) - $AB3</f>
        <v>6</v>
      </c>
      <c r="V3" s="12">
        <f t="shared" si="2"/>
        <v>19.2</v>
      </c>
      <c r="W3" s="15"/>
      <c r="X3" s="12"/>
      <c r="Y3" s="13">
        <v>15.0</v>
      </c>
      <c r="Z3" s="12"/>
      <c r="AA3" s="13">
        <v>15.0</v>
      </c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</row>
    <row r="4">
      <c r="A4" s="5"/>
      <c r="B4" s="6" t="s">
        <v>28</v>
      </c>
      <c r="C4" s="6" t="s">
        <v>28</v>
      </c>
      <c r="D4" s="16" t="s">
        <v>36</v>
      </c>
      <c r="E4" s="7">
        <v>3.0</v>
      </c>
      <c r="F4" s="8" t="s">
        <v>30</v>
      </c>
      <c r="G4" s="9" t="s">
        <v>31</v>
      </c>
      <c r="H4" s="10" t="s">
        <v>32</v>
      </c>
      <c r="I4" s="11" t="s">
        <v>35</v>
      </c>
      <c r="J4" s="12"/>
      <c r="K4" s="13">
        <v>6.0</v>
      </c>
      <c r="L4" s="12">
        <f>(IF(OR($G4="Backend"), VLOOKUP($F4,Effort_Estimate_Guidelines,2,FALSE), "")) - $Z4</f>
        <v>0</v>
      </c>
      <c r="M4" s="14"/>
      <c r="N4" s="13">
        <v>6.0</v>
      </c>
      <c r="O4" s="14"/>
      <c r="P4" s="12"/>
      <c r="Q4" s="14"/>
      <c r="R4" s="14"/>
      <c r="S4" s="14"/>
      <c r="T4" s="12">
        <f t="shared" si="1"/>
        <v>1.2</v>
      </c>
      <c r="U4" s="12">
        <f>(IF(AND($G4="Frontend",OR($H4="Responsive", $H4="Web")), VLOOKUP($F4,Effort_Estimate_Guidelines,VLOOKUP($H4,FormFactorGuidelines,4,FALSE),FALSE), "")) - $AB4</f>
        <v>6</v>
      </c>
      <c r="V4" s="12">
        <f t="shared" si="2"/>
        <v>19.2</v>
      </c>
      <c r="W4" s="15"/>
      <c r="X4" s="12"/>
      <c r="Y4" s="13">
        <v>15.0</v>
      </c>
      <c r="Z4" s="12"/>
      <c r="AA4" s="13">
        <v>15.0</v>
      </c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</row>
    <row r="5">
      <c r="A5" s="5"/>
      <c r="B5" s="6" t="s">
        <v>28</v>
      </c>
      <c r="C5" s="6" t="s">
        <v>28</v>
      </c>
      <c r="D5" s="6" t="s">
        <v>37</v>
      </c>
      <c r="E5" s="7">
        <v>3.0</v>
      </c>
      <c r="F5" s="8" t="s">
        <v>30</v>
      </c>
      <c r="G5" s="9" t="s">
        <v>31</v>
      </c>
      <c r="H5" s="10" t="s">
        <v>32</v>
      </c>
      <c r="I5" s="11" t="s">
        <v>38</v>
      </c>
      <c r="J5" s="12"/>
      <c r="K5" s="13">
        <v>6.0</v>
      </c>
      <c r="L5" s="12">
        <f>(IF(OR($G5="Backend"), VLOOKUP($F5,Effort_Estimate_Guidelines,2,FALSE), "")) - $Z5</f>
        <v>0</v>
      </c>
      <c r="M5" s="14"/>
      <c r="N5" s="13">
        <v>6.0</v>
      </c>
      <c r="O5" s="14"/>
      <c r="P5" s="12"/>
      <c r="Q5" s="14"/>
      <c r="R5" s="14"/>
      <c r="S5" s="14"/>
      <c r="T5" s="12">
        <f t="shared" si="1"/>
        <v>1.2</v>
      </c>
      <c r="U5" s="12">
        <f>(IF(AND($G5="Frontend",OR($H5="Responsive", $H5="Web")), VLOOKUP($F5,Effort_Estimate_Guidelines,VLOOKUP($H5,FormFactorGuidelines,4,FALSE),FALSE), "")) - $AB5</f>
        <v>6</v>
      </c>
      <c r="V5" s="12">
        <f t="shared" si="2"/>
        <v>19.2</v>
      </c>
      <c r="W5" s="15"/>
      <c r="X5" s="12"/>
      <c r="Y5" s="13">
        <v>15.0</v>
      </c>
      <c r="Z5" s="12"/>
      <c r="AA5" s="13">
        <v>15.0</v>
      </c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</row>
    <row r="6">
      <c r="A6" s="5"/>
      <c r="B6" s="6" t="s">
        <v>39</v>
      </c>
      <c r="C6" s="6" t="s">
        <v>39</v>
      </c>
      <c r="D6" s="16" t="s">
        <v>40</v>
      </c>
      <c r="E6" s="7">
        <v>3.0</v>
      </c>
      <c r="F6" s="8" t="s">
        <v>30</v>
      </c>
      <c r="G6" s="9" t="s">
        <v>31</v>
      </c>
      <c r="H6" s="10" t="s">
        <v>32</v>
      </c>
      <c r="I6" s="11" t="s">
        <v>33</v>
      </c>
      <c r="J6" s="12"/>
      <c r="K6" s="13">
        <v>5.0</v>
      </c>
      <c r="L6" s="12">
        <f>(IF(OR($G6="Backend"), VLOOKUP($F6,Effort_Estimate_Guidelines,2,FALSE), "")) - $Z6</f>
        <v>0</v>
      </c>
      <c r="M6" s="14"/>
      <c r="N6" s="13">
        <v>5.0</v>
      </c>
      <c r="O6" s="14"/>
      <c r="P6" s="12"/>
      <c r="Q6" s="14"/>
      <c r="R6" s="14"/>
      <c r="S6" s="14"/>
      <c r="T6" s="12">
        <f t="shared" si="1"/>
        <v>1</v>
      </c>
      <c r="U6" s="12">
        <f>(IF(AND($G6="Frontend",OR($H6="Responsive", $H6="Web")), VLOOKUP($F6,Effort_Estimate_Guidelines,VLOOKUP($H6,FormFactorGuidelines,4,FALSE),FALSE), "")) - $AB6</f>
        <v>6</v>
      </c>
      <c r="V6" s="12">
        <f t="shared" si="2"/>
        <v>17</v>
      </c>
      <c r="W6" s="15"/>
      <c r="X6" s="12"/>
      <c r="Y6" s="13">
        <v>15.0</v>
      </c>
      <c r="Z6" s="12"/>
      <c r="AA6" s="13">
        <v>15.0</v>
      </c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</row>
    <row r="7">
      <c r="A7" s="5"/>
      <c r="B7" s="6" t="s">
        <v>39</v>
      </c>
      <c r="C7" s="6" t="s">
        <v>39</v>
      </c>
      <c r="D7" s="16" t="s">
        <v>41</v>
      </c>
      <c r="E7" s="7">
        <v>3.0</v>
      </c>
      <c r="F7" s="8" t="s">
        <v>30</v>
      </c>
      <c r="G7" s="9" t="s">
        <v>31</v>
      </c>
      <c r="H7" s="10" t="s">
        <v>32</v>
      </c>
      <c r="I7" s="11" t="s">
        <v>35</v>
      </c>
      <c r="J7" s="12"/>
      <c r="K7" s="13">
        <v>5.0</v>
      </c>
      <c r="L7" s="12">
        <f>(IF(OR($G7="Backend"), VLOOKUP($F7,Effort_Estimate_Guidelines,2,FALSE), "")) - $Z7</f>
        <v>0</v>
      </c>
      <c r="M7" s="14"/>
      <c r="N7" s="13">
        <v>5.0</v>
      </c>
      <c r="O7" s="14"/>
      <c r="P7" s="12"/>
      <c r="Q7" s="14"/>
      <c r="R7" s="14"/>
      <c r="S7" s="14"/>
      <c r="T7" s="12">
        <f t="shared" si="1"/>
        <v>1</v>
      </c>
      <c r="U7" s="12">
        <f>(IF(AND($G7="Frontend",OR($H7="Responsive", $H7="Web")), VLOOKUP($F7,Effort_Estimate_Guidelines,VLOOKUP($H7,FormFactorGuidelines,4,FALSE),FALSE), "")) - $AB7</f>
        <v>6</v>
      </c>
      <c r="V7" s="12">
        <f t="shared" si="2"/>
        <v>17</v>
      </c>
      <c r="W7" s="15"/>
      <c r="X7" s="12"/>
      <c r="Y7" s="13">
        <v>15.0</v>
      </c>
      <c r="Z7" s="12"/>
      <c r="AA7" s="13">
        <v>15.0</v>
      </c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</row>
    <row r="8">
      <c r="A8" s="5"/>
      <c r="B8" s="6" t="s">
        <v>39</v>
      </c>
      <c r="C8" s="6" t="s">
        <v>39</v>
      </c>
      <c r="D8" s="16" t="s">
        <v>42</v>
      </c>
      <c r="E8" s="7">
        <v>3.0</v>
      </c>
      <c r="F8" s="8" t="s">
        <v>30</v>
      </c>
      <c r="G8" s="9" t="s">
        <v>31</v>
      </c>
      <c r="H8" s="10" t="s">
        <v>32</v>
      </c>
      <c r="I8" s="11" t="s">
        <v>35</v>
      </c>
      <c r="J8" s="12"/>
      <c r="K8" s="13">
        <v>5.0</v>
      </c>
      <c r="L8" s="12">
        <f>(IF(OR($G8="Backend"), VLOOKUP($F8,Effort_Estimate_Guidelines,2,FALSE), "")) - $Z8</f>
        <v>0</v>
      </c>
      <c r="M8" s="14"/>
      <c r="N8" s="13">
        <v>5.0</v>
      </c>
      <c r="O8" s="14"/>
      <c r="P8" s="12"/>
      <c r="Q8" s="14"/>
      <c r="R8" s="14"/>
      <c r="S8" s="14"/>
      <c r="T8" s="12">
        <f t="shared" si="1"/>
        <v>1</v>
      </c>
      <c r="U8" s="12">
        <f>(IF(AND($G8="Frontend",OR($H8="Responsive", $H8="Web")), VLOOKUP($F8,Effort_Estimate_Guidelines,VLOOKUP($H8,FormFactorGuidelines,4,FALSE),FALSE), "")) - $AB8</f>
        <v>6</v>
      </c>
      <c r="V8" s="12">
        <f t="shared" si="2"/>
        <v>17</v>
      </c>
      <c r="W8" s="15"/>
      <c r="X8" s="12"/>
      <c r="Y8" s="13">
        <v>15.0</v>
      </c>
      <c r="Z8" s="12"/>
      <c r="AA8" s="13">
        <v>15.0</v>
      </c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>
      <c r="A9" s="5"/>
      <c r="B9" s="6" t="s">
        <v>39</v>
      </c>
      <c r="C9" s="6" t="s">
        <v>39</v>
      </c>
      <c r="D9" s="6" t="s">
        <v>43</v>
      </c>
      <c r="E9" s="7">
        <v>3.0</v>
      </c>
      <c r="F9" s="8" t="s">
        <v>30</v>
      </c>
      <c r="G9" s="9" t="s">
        <v>31</v>
      </c>
      <c r="H9" s="10" t="s">
        <v>32</v>
      </c>
      <c r="I9" s="11" t="s">
        <v>35</v>
      </c>
      <c r="J9" s="12"/>
      <c r="K9" s="13">
        <v>5.0</v>
      </c>
      <c r="L9" s="12">
        <f>(IF(OR($G9="Backend"), VLOOKUP($F9,Effort_Estimate_Guidelines,2,FALSE), "")) - $Z9</f>
        <v>0</v>
      </c>
      <c r="M9" s="14"/>
      <c r="N9" s="13">
        <v>5.0</v>
      </c>
      <c r="O9" s="14"/>
      <c r="P9" s="12"/>
      <c r="Q9" s="14"/>
      <c r="R9" s="14"/>
      <c r="S9" s="14"/>
      <c r="T9" s="12">
        <f t="shared" si="1"/>
        <v>1</v>
      </c>
      <c r="U9" s="12">
        <f>(IF(AND($G9="Frontend",OR($H9="Responsive", $H9="Web")), VLOOKUP($F9,Effort_Estimate_Guidelines,VLOOKUP($H9,FormFactorGuidelines,4,FALSE),FALSE), "")) - $AB9</f>
        <v>6</v>
      </c>
      <c r="V9" s="12">
        <f t="shared" si="2"/>
        <v>17</v>
      </c>
      <c r="W9" s="15"/>
      <c r="X9" s="12"/>
      <c r="Y9" s="13">
        <v>15.0</v>
      </c>
      <c r="Z9" s="12"/>
      <c r="AA9" s="13">
        <v>15.0</v>
      </c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</row>
    <row r="10">
      <c r="A10" s="5"/>
      <c r="B10" s="6" t="s">
        <v>44</v>
      </c>
      <c r="C10" s="6" t="s">
        <v>44</v>
      </c>
      <c r="D10" s="6" t="s">
        <v>45</v>
      </c>
      <c r="E10" s="7">
        <v>3.0</v>
      </c>
      <c r="F10" s="8" t="s">
        <v>30</v>
      </c>
      <c r="G10" s="9" t="s">
        <v>31</v>
      </c>
      <c r="H10" s="10" t="s">
        <v>32</v>
      </c>
      <c r="I10" s="11" t="s">
        <v>35</v>
      </c>
      <c r="J10" s="12"/>
      <c r="K10" s="12">
        <f>(IF(AND($G10="Frontend",OR($H10="Responsive", $H10="Web")), VLOOKUP($F10,Effort_Estimate_Guidelines,VLOOKUP($H10,FormFactorGuidelines,3,FALSE),FALSE), "")) - $Y10</f>
        <v>3.9</v>
      </c>
      <c r="L10" s="12">
        <f>(IF(OR($G10="Backend"), VLOOKUP($F10,Effort_Estimate_Guidelines,2,FALSE), "")) - $Z10</f>
        <v>0</v>
      </c>
      <c r="M10" s="14"/>
      <c r="N10" s="12">
        <f>(IF(AND($G10="Frontend",OR($H10="Mobile Hybrid", $H10="Responsive")), VLOOKUP($F10,Effort_Estimate_Guidelines,VLOOKUP($H10,FormFactorGuidelines,3,FALSE),FALSE), "")) - $AA10</f>
        <v>3.9</v>
      </c>
      <c r="O10" s="14"/>
      <c r="P10" s="12"/>
      <c r="Q10" s="14"/>
      <c r="R10" s="14"/>
      <c r="S10" s="14"/>
      <c r="T10" s="12">
        <f t="shared" si="1"/>
        <v>0.78</v>
      </c>
      <c r="U10" s="12">
        <f>(IF(AND($G10="Frontend",OR($H10="Responsive", $H10="Web")), VLOOKUP($F10,Effort_Estimate_Guidelines,VLOOKUP($H10,FormFactorGuidelines,4,FALSE),FALSE), "")) - $AB10</f>
        <v>6</v>
      </c>
      <c r="V10" s="12">
        <f t="shared" si="2"/>
        <v>14.58</v>
      </c>
      <c r="W10" s="15"/>
      <c r="X10" s="12"/>
      <c r="Y10" s="13">
        <v>15.0</v>
      </c>
      <c r="Z10" s="12"/>
      <c r="AA10" s="13">
        <v>15.0</v>
      </c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</row>
    <row r="11">
      <c r="A11" s="5"/>
      <c r="B11" s="6" t="s">
        <v>44</v>
      </c>
      <c r="C11" s="6" t="s">
        <v>44</v>
      </c>
      <c r="D11" s="6" t="s">
        <v>46</v>
      </c>
      <c r="E11" s="7">
        <v>3.0</v>
      </c>
      <c r="F11" s="8" t="s">
        <v>30</v>
      </c>
      <c r="G11" s="9" t="s">
        <v>31</v>
      </c>
      <c r="H11" s="10" t="s">
        <v>32</v>
      </c>
      <c r="I11" s="11" t="s">
        <v>33</v>
      </c>
      <c r="J11" s="12"/>
      <c r="K11" s="12">
        <f>(IF(AND($G11="Frontend",OR($H11="Responsive", $H11="Web")), VLOOKUP($F11,Effort_Estimate_Guidelines,VLOOKUP($H11,FormFactorGuidelines,3,FALSE),FALSE), "")) - $Y11</f>
        <v>3.9</v>
      </c>
      <c r="L11" s="12">
        <f>(IF(OR($G11="Backend"), VLOOKUP($F11,Effort_Estimate_Guidelines,2,FALSE), "")) - $Z11</f>
        <v>0</v>
      </c>
      <c r="M11" s="14"/>
      <c r="N11" s="12">
        <f>(IF(AND($G11="Frontend",OR($H11="Mobile Hybrid", $H11="Responsive")), VLOOKUP($F11,Effort_Estimate_Guidelines,VLOOKUP($H11,FormFactorGuidelines,3,FALSE),FALSE), "")) - $AA11</f>
        <v>3.9</v>
      </c>
      <c r="O11" s="14"/>
      <c r="P11" s="12"/>
      <c r="Q11" s="14"/>
      <c r="R11" s="14"/>
      <c r="S11" s="14"/>
      <c r="T11" s="12">
        <f t="shared" si="1"/>
        <v>0.78</v>
      </c>
      <c r="U11" s="12">
        <f>(IF(AND($G11="Frontend",OR($H11="Responsive", $H11="Web")), VLOOKUP($F11,Effort_Estimate_Guidelines,VLOOKUP($H11,FormFactorGuidelines,4,FALSE),FALSE), "")) - $AB11</f>
        <v>6</v>
      </c>
      <c r="V11" s="12">
        <f t="shared" si="2"/>
        <v>14.58</v>
      </c>
      <c r="W11" s="15"/>
      <c r="X11" s="12"/>
      <c r="Y11" s="13">
        <v>15.0</v>
      </c>
      <c r="Z11" s="12"/>
      <c r="AA11" s="13">
        <v>15.0</v>
      </c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</row>
    <row r="12">
      <c r="A12" s="5"/>
      <c r="B12" s="6" t="s">
        <v>44</v>
      </c>
      <c r="C12" s="6" t="s">
        <v>44</v>
      </c>
      <c r="D12" s="6" t="s">
        <v>47</v>
      </c>
      <c r="E12" s="7">
        <v>3.0</v>
      </c>
      <c r="F12" s="8" t="s">
        <v>30</v>
      </c>
      <c r="G12" s="9" t="s">
        <v>31</v>
      </c>
      <c r="H12" s="10" t="s">
        <v>32</v>
      </c>
      <c r="I12" s="11" t="s">
        <v>33</v>
      </c>
      <c r="J12" s="12"/>
      <c r="K12" s="12">
        <f>(IF(AND($G12="Frontend",OR($H12="Responsive", $H12="Web")), VLOOKUP($F12,Effort_Estimate_Guidelines,VLOOKUP($H12,FormFactorGuidelines,3,FALSE),FALSE), "")) - $Y12</f>
        <v>3.9</v>
      </c>
      <c r="L12" s="12">
        <f>(IF(OR($G12="Backend"), VLOOKUP($F12,Effort_Estimate_Guidelines,2,FALSE), "")) - $Z12</f>
        <v>0</v>
      </c>
      <c r="M12" s="14"/>
      <c r="N12" s="12">
        <f>(IF(AND($G12="Frontend",OR($H12="Mobile Hybrid", $H12="Responsive")), VLOOKUP($F12,Effort_Estimate_Guidelines,VLOOKUP($H12,FormFactorGuidelines,3,FALSE),FALSE), "")) - $AA12</f>
        <v>3.9</v>
      </c>
      <c r="O12" s="14"/>
      <c r="P12" s="12"/>
      <c r="Q12" s="14"/>
      <c r="R12" s="14"/>
      <c r="S12" s="14"/>
      <c r="T12" s="12">
        <f t="shared" si="1"/>
        <v>0.78</v>
      </c>
      <c r="U12" s="12">
        <f>(IF(AND($G12="Frontend",OR($H12="Responsive", $H12="Web")), VLOOKUP($F12,Effort_Estimate_Guidelines,VLOOKUP($H12,FormFactorGuidelines,4,FALSE),FALSE), "")) - $AB12</f>
        <v>6</v>
      </c>
      <c r="V12" s="12">
        <f t="shared" si="2"/>
        <v>14.58</v>
      </c>
      <c r="W12" s="15"/>
      <c r="X12" s="12"/>
      <c r="Y12" s="13">
        <v>15.0</v>
      </c>
      <c r="Z12" s="12"/>
      <c r="AA12" s="13">
        <v>15.0</v>
      </c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>
      <c r="A13" s="5"/>
      <c r="B13" s="6" t="s">
        <v>44</v>
      </c>
      <c r="C13" s="6" t="s">
        <v>44</v>
      </c>
      <c r="D13" s="6" t="s">
        <v>48</v>
      </c>
      <c r="E13" s="7">
        <v>3.0</v>
      </c>
      <c r="F13" s="8" t="s">
        <v>30</v>
      </c>
      <c r="G13" s="9" t="s">
        <v>31</v>
      </c>
      <c r="H13" s="10" t="s">
        <v>32</v>
      </c>
      <c r="I13" s="11" t="s">
        <v>35</v>
      </c>
      <c r="J13" s="12"/>
      <c r="K13" s="12">
        <f>(IF(AND($G13="Frontend",OR($H13="Responsive", $H13="Web")), VLOOKUP($F13,Effort_Estimate_Guidelines,VLOOKUP($H13,FormFactorGuidelines,3,FALSE),FALSE), "")) - $Y13</f>
        <v>3.9</v>
      </c>
      <c r="L13" s="12">
        <f>(IF(OR($G13="Backend"), VLOOKUP($F13,Effort_Estimate_Guidelines,2,FALSE), "")) - $Z13</f>
        <v>0</v>
      </c>
      <c r="M13" s="14"/>
      <c r="N13" s="12">
        <f>(IF(AND($G13="Frontend",OR($H13="Mobile Hybrid", $H13="Responsive")), VLOOKUP($F13,Effort_Estimate_Guidelines,VLOOKUP($H13,FormFactorGuidelines,3,FALSE),FALSE), "")) - $AA13</f>
        <v>3.9</v>
      </c>
      <c r="O13" s="14"/>
      <c r="P13" s="12"/>
      <c r="Q13" s="14"/>
      <c r="R13" s="14"/>
      <c r="S13" s="14"/>
      <c r="T13" s="12">
        <f t="shared" si="1"/>
        <v>0.78</v>
      </c>
      <c r="U13" s="12">
        <f>(IF(AND($G13="Frontend",OR($H13="Responsive", $H13="Web")), VLOOKUP($F13,Effort_Estimate_Guidelines,VLOOKUP($H13,FormFactorGuidelines,4,FALSE),FALSE), "")) - $AB13</f>
        <v>6</v>
      </c>
      <c r="V13" s="12">
        <f t="shared" si="2"/>
        <v>14.58</v>
      </c>
      <c r="W13" s="15"/>
      <c r="X13" s="12"/>
      <c r="Y13" s="13">
        <v>15.0</v>
      </c>
      <c r="Z13" s="12"/>
      <c r="AA13" s="13">
        <v>15.0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</row>
    <row r="14">
      <c r="A14" s="5"/>
      <c r="B14" s="6" t="s">
        <v>49</v>
      </c>
      <c r="C14" s="6" t="s">
        <v>49</v>
      </c>
      <c r="D14" s="6" t="s">
        <v>50</v>
      </c>
      <c r="E14" s="7">
        <v>3.0</v>
      </c>
      <c r="F14" s="8" t="s">
        <v>30</v>
      </c>
      <c r="G14" s="9" t="s">
        <v>31</v>
      </c>
      <c r="H14" s="10" t="s">
        <v>32</v>
      </c>
      <c r="I14" s="11" t="s">
        <v>33</v>
      </c>
      <c r="J14" s="12"/>
      <c r="K14" s="12">
        <f>(IF(AND($G14="Frontend",OR($H14="Responsive", $H14="Web")), VLOOKUP($F14,Effort_Estimate_Guidelines,VLOOKUP($H14,FormFactorGuidelines,3,FALSE),FALSE), "")) - $Y14</f>
        <v>3.9</v>
      </c>
      <c r="L14" s="12">
        <f>(IF(OR($G14="Backend"), VLOOKUP($F14,Effort_Estimate_Guidelines,2,FALSE), "")) - $Z14</f>
        <v>0</v>
      </c>
      <c r="M14" s="14"/>
      <c r="N14" s="12">
        <f>(IF(AND($G14="Frontend",OR($H14="Mobile Hybrid", $H14="Responsive")), VLOOKUP($F14,Effort_Estimate_Guidelines,VLOOKUP($H14,FormFactorGuidelines,3,FALSE),FALSE), "")) - $AA14</f>
        <v>3.9</v>
      </c>
      <c r="O14" s="14"/>
      <c r="P14" s="12"/>
      <c r="Q14" s="14"/>
      <c r="R14" s="14"/>
      <c r="S14" s="14"/>
      <c r="T14" s="12">
        <f t="shared" si="1"/>
        <v>0.78</v>
      </c>
      <c r="U14" s="12">
        <f>(IF(AND($G14="Frontend",OR($H14="Responsive", $H14="Web")), VLOOKUP($F14,Effort_Estimate_Guidelines,VLOOKUP($H14,FormFactorGuidelines,4,FALSE),FALSE), "")) - $AB14</f>
        <v>6</v>
      </c>
      <c r="V14" s="12">
        <f t="shared" si="2"/>
        <v>14.58</v>
      </c>
      <c r="W14" s="15"/>
      <c r="X14" s="12"/>
      <c r="Y14" s="13">
        <v>15.0</v>
      </c>
      <c r="Z14" s="12"/>
      <c r="AA14" s="13">
        <v>15.0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>
      <c r="A15" s="5"/>
      <c r="B15" s="6" t="s">
        <v>49</v>
      </c>
      <c r="C15" s="6" t="s">
        <v>49</v>
      </c>
      <c r="D15" s="6" t="s">
        <v>51</v>
      </c>
      <c r="E15" s="7">
        <v>3.0</v>
      </c>
      <c r="F15" s="8" t="s">
        <v>30</v>
      </c>
      <c r="G15" s="9" t="s">
        <v>31</v>
      </c>
      <c r="H15" s="10" t="s">
        <v>32</v>
      </c>
      <c r="I15" s="11" t="s">
        <v>33</v>
      </c>
      <c r="J15" s="12"/>
      <c r="K15" s="12">
        <f>(IF(AND($G15="Frontend",OR($H15="Responsive", $H15="Web")), VLOOKUP($F15,Effort_Estimate_Guidelines,VLOOKUP($H15,FormFactorGuidelines,3,FALSE),FALSE), "")) - $Y15</f>
        <v>3.9</v>
      </c>
      <c r="L15" s="12">
        <f>(IF(OR($G15="Backend"), VLOOKUP($F15,Effort_Estimate_Guidelines,2,FALSE), "")) - $Z15</f>
        <v>0</v>
      </c>
      <c r="M15" s="14"/>
      <c r="N15" s="12">
        <f>(IF(AND($G15="Frontend",OR($H15="Mobile Hybrid", $H15="Responsive")), VLOOKUP($F15,Effort_Estimate_Guidelines,VLOOKUP($H15,FormFactorGuidelines,3,FALSE),FALSE), "")) - $AA15</f>
        <v>3.9</v>
      </c>
      <c r="O15" s="14"/>
      <c r="P15" s="12"/>
      <c r="Q15" s="14"/>
      <c r="R15" s="14"/>
      <c r="S15" s="14"/>
      <c r="T15" s="12">
        <f t="shared" si="1"/>
        <v>0.78</v>
      </c>
      <c r="U15" s="12">
        <f>(IF(AND($G15="Frontend",OR($H15="Responsive", $H15="Web")), VLOOKUP($F15,Effort_Estimate_Guidelines,VLOOKUP($H15,FormFactorGuidelines,4,FALSE),FALSE), "")) - $AB15</f>
        <v>6</v>
      </c>
      <c r="V15" s="12">
        <f t="shared" si="2"/>
        <v>14.58</v>
      </c>
      <c r="W15" s="15"/>
      <c r="X15" s="12"/>
      <c r="Y15" s="13">
        <v>15.0</v>
      </c>
      <c r="Z15" s="12"/>
      <c r="AA15" s="13">
        <v>15.0</v>
      </c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>
      <c r="A16" s="5"/>
      <c r="B16" s="6" t="s">
        <v>49</v>
      </c>
      <c r="C16" s="6" t="s">
        <v>49</v>
      </c>
      <c r="D16" s="6" t="s">
        <v>52</v>
      </c>
      <c r="E16" s="7">
        <v>3.0</v>
      </c>
      <c r="F16" s="8" t="s">
        <v>30</v>
      </c>
      <c r="G16" s="9" t="s">
        <v>31</v>
      </c>
      <c r="H16" s="10" t="s">
        <v>32</v>
      </c>
      <c r="I16" s="11" t="s">
        <v>35</v>
      </c>
      <c r="J16" s="12"/>
      <c r="K16" s="12">
        <f>(IF(AND($G16="Frontend",OR($H16="Responsive", $H16="Web")), VLOOKUP($F16,Effort_Estimate_Guidelines,VLOOKUP($H16,FormFactorGuidelines,3,FALSE),FALSE), "")) - $Y16</f>
        <v>3.9</v>
      </c>
      <c r="L16" s="12">
        <f>(IF(OR($G16="Backend"), VLOOKUP($F16,Effort_Estimate_Guidelines,2,FALSE), "")) - $Z16</f>
        <v>0</v>
      </c>
      <c r="M16" s="17">
        <v>24.0</v>
      </c>
      <c r="N16" s="12">
        <f>(IF(AND($G16="Frontend",OR($H16="Mobile Hybrid", $H16="Responsive")), VLOOKUP($F16,Effort_Estimate_Guidelines,VLOOKUP($H16,FormFactorGuidelines,3,FALSE),FALSE), "")) - $AA16</f>
        <v>3.9</v>
      </c>
      <c r="O16" s="14"/>
      <c r="P16" s="12"/>
      <c r="Q16" s="14"/>
      <c r="R16" s="14"/>
      <c r="S16" s="14"/>
      <c r="T16" s="12">
        <f t="shared" si="1"/>
        <v>0.78</v>
      </c>
      <c r="U16" s="12">
        <f>(IF(AND($G16="Frontend",OR($H16="Responsive", $H16="Web")), VLOOKUP($F16,Effort_Estimate_Guidelines,VLOOKUP($H16,FormFactorGuidelines,4,FALSE),FALSE), "")) - $AB16</f>
        <v>6</v>
      </c>
      <c r="V16" s="12">
        <f t="shared" si="2"/>
        <v>38.58</v>
      </c>
      <c r="W16" s="15"/>
      <c r="X16" s="12"/>
      <c r="Y16" s="13">
        <v>15.0</v>
      </c>
      <c r="Z16" s="12"/>
      <c r="AA16" s="13">
        <v>15.0</v>
      </c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</row>
    <row r="17">
      <c r="A17" s="5"/>
      <c r="B17" s="6" t="s">
        <v>49</v>
      </c>
      <c r="C17" s="6" t="s">
        <v>49</v>
      </c>
      <c r="D17" s="6" t="s">
        <v>53</v>
      </c>
      <c r="E17" s="7">
        <v>3.0</v>
      </c>
      <c r="F17" s="8" t="s">
        <v>30</v>
      </c>
      <c r="G17" s="9" t="s">
        <v>31</v>
      </c>
      <c r="H17" s="10" t="s">
        <v>32</v>
      </c>
      <c r="I17" s="11" t="s">
        <v>38</v>
      </c>
      <c r="J17" s="12"/>
      <c r="K17" s="12">
        <f>(IF(AND($G17="Frontend",OR($H17="Responsive", $H17="Web")), VLOOKUP($F17,Effort_Estimate_Guidelines,VLOOKUP($H17,FormFactorGuidelines,3,FALSE),FALSE), "")) - $Y17</f>
        <v>3.9</v>
      </c>
      <c r="L17" s="12">
        <f>(IF(OR($G17="Backend"), VLOOKUP($F17,Effort_Estimate_Guidelines,2,FALSE), "")) - $Z17</f>
        <v>0</v>
      </c>
      <c r="M17" s="14"/>
      <c r="N17" s="12">
        <f>(IF(AND($G17="Frontend",OR($H17="Mobile Hybrid", $H17="Responsive")), VLOOKUP($F17,Effort_Estimate_Guidelines,VLOOKUP($H17,FormFactorGuidelines,3,FALSE),FALSE), "")) - $AA17</f>
        <v>3.9</v>
      </c>
      <c r="O17" s="14"/>
      <c r="P17" s="12"/>
      <c r="Q17" s="14"/>
      <c r="R17" s="14"/>
      <c r="S17" s="14"/>
      <c r="T17" s="12">
        <f t="shared" si="1"/>
        <v>0.78</v>
      </c>
      <c r="U17" s="12">
        <f>(IF(AND($G17="Frontend",OR($H17="Responsive", $H17="Web")), VLOOKUP($F17,Effort_Estimate_Guidelines,VLOOKUP($H17,FormFactorGuidelines,4,FALSE),FALSE), "")) - $AB17</f>
        <v>6</v>
      </c>
      <c r="V17" s="12">
        <f t="shared" si="2"/>
        <v>14.58</v>
      </c>
      <c r="W17" s="15"/>
      <c r="X17" s="12"/>
      <c r="Y17" s="13">
        <v>15.0</v>
      </c>
      <c r="Z17" s="12"/>
      <c r="AA17" s="13">
        <v>15.0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</row>
    <row r="18">
      <c r="A18" s="5"/>
      <c r="B18" s="6" t="s">
        <v>49</v>
      </c>
      <c r="C18" s="6" t="s">
        <v>49</v>
      </c>
      <c r="D18" s="6" t="s">
        <v>54</v>
      </c>
      <c r="E18" s="7">
        <v>3.0</v>
      </c>
      <c r="F18" s="8" t="s">
        <v>30</v>
      </c>
      <c r="G18" s="9" t="s">
        <v>31</v>
      </c>
      <c r="H18" s="10" t="s">
        <v>32</v>
      </c>
      <c r="I18" s="11" t="s">
        <v>35</v>
      </c>
      <c r="J18" s="12"/>
      <c r="K18" s="12">
        <f>(IF(AND($G18="Frontend",OR($H18="Responsive", $H18="Web")), VLOOKUP($F18,Effort_Estimate_Guidelines,VLOOKUP($H18,FormFactorGuidelines,3,FALSE),FALSE), "")) - $Y18</f>
        <v>3.9</v>
      </c>
      <c r="L18" s="12">
        <f>(IF(OR($G18="Backend"), VLOOKUP($F18,Effort_Estimate_Guidelines,2,FALSE), "")) - $Z18</f>
        <v>0</v>
      </c>
      <c r="M18" s="14"/>
      <c r="N18" s="12">
        <f>(IF(AND($G18="Frontend",OR($H18="Mobile Hybrid", $H18="Responsive")), VLOOKUP($F18,Effort_Estimate_Guidelines,VLOOKUP($H18,FormFactorGuidelines,3,FALSE),FALSE), "")) - $AA18</f>
        <v>3.9</v>
      </c>
      <c r="O18" s="14"/>
      <c r="P18" s="12"/>
      <c r="Q18" s="14"/>
      <c r="R18" s="14"/>
      <c r="S18" s="14"/>
      <c r="T18" s="12">
        <f t="shared" si="1"/>
        <v>0.78</v>
      </c>
      <c r="U18" s="12">
        <f>(IF(AND($G18="Frontend",OR($H18="Responsive", $H18="Web")), VLOOKUP($F18,Effort_Estimate_Guidelines,VLOOKUP($H18,FormFactorGuidelines,4,FALSE),FALSE), "")) - $AB18</f>
        <v>6</v>
      </c>
      <c r="V18" s="12">
        <f t="shared" si="2"/>
        <v>14.58</v>
      </c>
      <c r="W18" s="15"/>
      <c r="X18" s="12"/>
      <c r="Y18" s="13">
        <v>15.0</v>
      </c>
      <c r="Z18" s="12"/>
      <c r="AA18" s="13">
        <v>15.0</v>
      </c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</row>
    <row r="19">
      <c r="A19" s="18"/>
      <c r="B19" s="19" t="s">
        <v>49</v>
      </c>
      <c r="C19" s="19" t="s">
        <v>55</v>
      </c>
      <c r="D19" s="20" t="s">
        <v>56</v>
      </c>
      <c r="E19" s="21">
        <v>3.0</v>
      </c>
      <c r="F19" s="22" t="s">
        <v>30</v>
      </c>
      <c r="G19" s="21" t="s">
        <v>31</v>
      </c>
      <c r="H19" s="23" t="s">
        <v>32</v>
      </c>
      <c r="I19" s="11" t="s">
        <v>38</v>
      </c>
      <c r="J19" s="24"/>
      <c r="K19" s="24">
        <f>(IF(AND($G19="Frontend",OR($H19="Responsive", $H19="Web")), VLOOKUP($F19,Effort_Estimate_Guidelines,VLOOKUP($H19,FormFactorGuidelines,3,FALSE),FALSE), "")) - $Y19</f>
        <v>3.9</v>
      </c>
      <c r="L19" s="24">
        <f>(IF(OR($G19="Backend"), VLOOKUP($F19,Effort_Estimate_Guidelines,2,FALSE), "")) - $Z19</f>
        <v>0</v>
      </c>
      <c r="M19" s="25"/>
      <c r="N19" s="12">
        <f>(IF(AND($G19="Frontend",OR($H19="Mobile Hybrid", $H19="Responsive")), VLOOKUP($F19,Effort_Estimate_Guidelines,VLOOKUP($H19,FormFactorGuidelines,3,FALSE),FALSE), "")) - $AA19</f>
        <v>3.9</v>
      </c>
      <c r="O19" s="25"/>
      <c r="P19" s="26"/>
      <c r="Q19" s="25"/>
      <c r="R19" s="25"/>
      <c r="S19" s="25"/>
      <c r="T19" s="24">
        <f t="shared" si="1"/>
        <v>0.78</v>
      </c>
      <c r="U19" s="24">
        <f>(IF(AND($G19="Frontend",OR($H19="Responsive", $H19="Web")), VLOOKUP($F19,Effort_Estimate_Guidelines,VLOOKUP($H19,FormFactorGuidelines,4,FALSE),FALSE), "")) - $AB19</f>
        <v>6</v>
      </c>
      <c r="V19" s="24">
        <f t="shared" si="2"/>
        <v>14.58</v>
      </c>
      <c r="W19" s="25"/>
      <c r="X19" s="26"/>
      <c r="Y19" s="13">
        <v>15.0</v>
      </c>
      <c r="Z19" s="26"/>
      <c r="AA19" s="13">
        <v>15.0</v>
      </c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>
      <c r="A20" s="5"/>
      <c r="B20" s="6" t="s">
        <v>57</v>
      </c>
      <c r="C20" s="6" t="s">
        <v>57</v>
      </c>
      <c r="D20" s="16" t="s">
        <v>58</v>
      </c>
      <c r="E20" s="7">
        <v>3.0</v>
      </c>
      <c r="F20" s="8" t="s">
        <v>30</v>
      </c>
      <c r="G20" s="9" t="s">
        <v>31</v>
      </c>
      <c r="H20" s="10" t="s">
        <v>32</v>
      </c>
      <c r="I20" s="11" t="s">
        <v>33</v>
      </c>
      <c r="J20" s="12"/>
      <c r="K20" s="12">
        <f>(IF(AND($G20="Frontend",OR($H20="Responsive", $H20="Web")), VLOOKUP($F20,Effort_Estimate_Guidelines,VLOOKUP($H20,FormFactorGuidelines,3,FALSE),FALSE), "")) - $Y20</f>
        <v>3.9</v>
      </c>
      <c r="L20" s="12">
        <f>(IF(OR($G20="Backend"), VLOOKUP($F20,Effort_Estimate_Guidelines,2,FALSE), "")) - $Z20</f>
        <v>0</v>
      </c>
      <c r="M20" s="14"/>
      <c r="N20" s="12">
        <f>(IF(AND($G20="Frontend",OR($H20="Mobile Hybrid", $H20="Responsive")), VLOOKUP($F20,Effort_Estimate_Guidelines,VLOOKUP($H20,FormFactorGuidelines,3,FALSE),FALSE), "")) - $AA20</f>
        <v>3.9</v>
      </c>
      <c r="O20" s="14"/>
      <c r="P20" s="12"/>
      <c r="Q20" s="14"/>
      <c r="R20" s="14"/>
      <c r="S20" s="14"/>
      <c r="T20" s="12">
        <f t="shared" si="1"/>
        <v>0.78</v>
      </c>
      <c r="U20" s="12">
        <f>(IF(AND($G20="Frontend",OR($H20="Responsive", $H20="Web")), VLOOKUP($F20,Effort_Estimate_Guidelines,VLOOKUP($H20,FormFactorGuidelines,4,FALSE),FALSE), "")) - $AB20</f>
        <v>6</v>
      </c>
      <c r="V20" s="12">
        <f t="shared" si="2"/>
        <v>14.58</v>
      </c>
      <c r="W20" s="15"/>
      <c r="X20" s="12"/>
      <c r="Y20" s="13">
        <v>15.0</v>
      </c>
      <c r="Z20" s="12"/>
      <c r="AA20" s="13">
        <v>15.0</v>
      </c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</row>
    <row r="21">
      <c r="A21" s="18"/>
      <c r="B21" s="19" t="s">
        <v>57</v>
      </c>
      <c r="C21" s="19" t="s">
        <v>59</v>
      </c>
      <c r="D21" s="20" t="s">
        <v>60</v>
      </c>
      <c r="E21" s="21">
        <v>3.0</v>
      </c>
      <c r="F21" s="27" t="s">
        <v>30</v>
      </c>
      <c r="G21" s="21" t="s">
        <v>31</v>
      </c>
      <c r="H21" s="23" t="s">
        <v>32</v>
      </c>
      <c r="I21" s="11" t="s">
        <v>38</v>
      </c>
      <c r="J21" s="24"/>
      <c r="K21" s="24">
        <f>(IF(AND($G21="Frontend",OR($H21="Responsive", $H21="Web")), VLOOKUP($F21,Effort_Estimate_Guidelines,VLOOKUP($H21,FormFactorGuidelines,3,FALSE),FALSE), "")) - $Y21</f>
        <v>3.9</v>
      </c>
      <c r="L21" s="24">
        <f>(IF(OR($G21="Backend"), VLOOKUP($F21,Effort_Estimate_Guidelines,2,FALSE), "")) - $Z21</f>
        <v>0</v>
      </c>
      <c r="M21" s="25"/>
      <c r="N21" s="12">
        <f>(IF(AND($G21="Frontend",OR($H21="Mobile Hybrid", $H21="Responsive")), VLOOKUP($F21,Effort_Estimate_Guidelines,VLOOKUP($H21,FormFactorGuidelines,3,FALSE),FALSE), "")) - $AA21</f>
        <v>3.9</v>
      </c>
      <c r="O21" s="25"/>
      <c r="P21" s="26"/>
      <c r="Q21" s="25"/>
      <c r="R21" s="25"/>
      <c r="S21" s="25"/>
      <c r="T21" s="24">
        <f t="shared" si="1"/>
        <v>0.78</v>
      </c>
      <c r="U21" s="24">
        <f>(IF(AND($G21="Frontend",OR($H21="Responsive", $H21="Web")), VLOOKUP($F21,Effort_Estimate_Guidelines,VLOOKUP($H21,FormFactorGuidelines,4,FALSE),FALSE), "")) - $AB21</f>
        <v>6</v>
      </c>
      <c r="V21" s="24">
        <f t="shared" si="2"/>
        <v>14.58</v>
      </c>
      <c r="W21" s="25"/>
      <c r="X21" s="26"/>
      <c r="Y21" s="13">
        <v>15.0</v>
      </c>
      <c r="Z21" s="26"/>
      <c r="AA21" s="13">
        <v>15.0</v>
      </c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>
      <c r="A22" s="18"/>
      <c r="B22" s="19" t="s">
        <v>57</v>
      </c>
      <c r="C22" s="19" t="s">
        <v>59</v>
      </c>
      <c r="D22" s="20" t="s">
        <v>61</v>
      </c>
      <c r="E22" s="21">
        <v>3.0</v>
      </c>
      <c r="F22" s="27" t="s">
        <v>30</v>
      </c>
      <c r="G22" s="21" t="s">
        <v>31</v>
      </c>
      <c r="H22" s="23" t="s">
        <v>32</v>
      </c>
      <c r="I22" s="11" t="s">
        <v>38</v>
      </c>
      <c r="J22" s="24"/>
      <c r="K22" s="24">
        <f>(IF(AND($G22="Frontend",OR($H22="Responsive", $H22="Web")), VLOOKUP($F22,Effort_Estimate_Guidelines,VLOOKUP($H22,FormFactorGuidelines,3,FALSE),FALSE), "")) - $Y22</f>
        <v>3.9</v>
      </c>
      <c r="L22" s="24">
        <f>(IF(OR($G22="Backend"), VLOOKUP($F22,Effort_Estimate_Guidelines,2,FALSE), "")) - $Z22</f>
        <v>0</v>
      </c>
      <c r="M22" s="25"/>
      <c r="N22" s="12">
        <f>(IF(AND($G22="Frontend",OR($H22="Mobile Hybrid", $H22="Responsive")), VLOOKUP($F22,Effort_Estimate_Guidelines,VLOOKUP($H22,FormFactorGuidelines,3,FALSE),FALSE), "")) - $AA22</f>
        <v>3.9</v>
      </c>
      <c r="O22" s="25"/>
      <c r="P22" s="26"/>
      <c r="Q22" s="25"/>
      <c r="R22" s="25"/>
      <c r="S22" s="25"/>
      <c r="T22" s="24">
        <f t="shared" si="1"/>
        <v>0.78</v>
      </c>
      <c r="U22" s="24">
        <f>(IF(AND($G22="Frontend",OR($H22="Responsive", $H22="Web")), VLOOKUP($F22,Effort_Estimate_Guidelines,VLOOKUP($H22,FormFactorGuidelines,4,FALSE),FALSE), "")) - $AB22</f>
        <v>6</v>
      </c>
      <c r="V22" s="24">
        <f t="shared" si="2"/>
        <v>14.58</v>
      </c>
      <c r="W22" s="25"/>
      <c r="X22" s="26"/>
      <c r="Y22" s="13">
        <v>15.0</v>
      </c>
      <c r="Z22" s="26"/>
      <c r="AA22" s="13">
        <v>15.0</v>
      </c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</row>
    <row r="23">
      <c r="A23" s="5"/>
      <c r="B23" s="6" t="s">
        <v>57</v>
      </c>
      <c r="C23" s="6" t="s">
        <v>57</v>
      </c>
      <c r="D23" s="6" t="s">
        <v>62</v>
      </c>
      <c r="E23" s="7">
        <v>3.0</v>
      </c>
      <c r="F23" s="8" t="s">
        <v>30</v>
      </c>
      <c r="G23" s="9" t="s">
        <v>31</v>
      </c>
      <c r="H23" s="10" t="s">
        <v>32</v>
      </c>
      <c r="I23" s="11" t="s">
        <v>35</v>
      </c>
      <c r="J23" s="12"/>
      <c r="K23" s="12">
        <f>(IF(AND($G23="Frontend",OR($H23="Responsive", $H23="Web")), VLOOKUP($F23,Effort_Estimate_Guidelines,VLOOKUP($H23,FormFactorGuidelines,3,FALSE),FALSE), "")) - $Y23</f>
        <v>3.9</v>
      </c>
      <c r="L23" s="12">
        <f>(IF(OR($G23="Backend"), VLOOKUP($F23,Effort_Estimate_Guidelines,2,FALSE), "")) - $Z23</f>
        <v>0</v>
      </c>
      <c r="M23" s="14"/>
      <c r="N23" s="12">
        <f>(IF(AND($G23="Frontend",OR($H23="Mobile Hybrid", $H23="Responsive")), VLOOKUP($F23,Effort_Estimate_Guidelines,VLOOKUP($H23,FormFactorGuidelines,3,FALSE),FALSE), "")) - $AA23</f>
        <v>3.9</v>
      </c>
      <c r="O23" s="14"/>
      <c r="P23" s="12"/>
      <c r="Q23" s="14"/>
      <c r="R23" s="14"/>
      <c r="S23" s="14"/>
      <c r="T23" s="12">
        <f t="shared" si="1"/>
        <v>0.78</v>
      </c>
      <c r="U23" s="12">
        <f>(IF(AND($G23="Frontend",OR($H23="Responsive", $H23="Web")), VLOOKUP($F23,Effort_Estimate_Guidelines,VLOOKUP($H23,FormFactorGuidelines,4,FALSE),FALSE), "")) - $AB23</f>
        <v>6</v>
      </c>
      <c r="V23" s="12">
        <f t="shared" si="2"/>
        <v>14.58</v>
      </c>
      <c r="W23" s="15"/>
      <c r="X23" s="12"/>
      <c r="Y23" s="13">
        <v>15.0</v>
      </c>
      <c r="Z23" s="12"/>
      <c r="AA23" s="13">
        <v>15.0</v>
      </c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</row>
    <row r="24">
      <c r="A24" s="5"/>
      <c r="B24" s="6" t="s">
        <v>57</v>
      </c>
      <c r="C24" s="6" t="s">
        <v>57</v>
      </c>
      <c r="D24" s="6" t="s">
        <v>63</v>
      </c>
      <c r="E24" s="7">
        <v>3.0</v>
      </c>
      <c r="F24" s="8" t="s">
        <v>30</v>
      </c>
      <c r="G24" s="9" t="s">
        <v>31</v>
      </c>
      <c r="H24" s="10" t="s">
        <v>32</v>
      </c>
      <c r="I24" s="11" t="s">
        <v>35</v>
      </c>
      <c r="J24" s="12"/>
      <c r="K24" s="12">
        <f>(IF(AND($G24="Frontend",OR($H24="Responsive", $H24="Web")), VLOOKUP($F24,Effort_Estimate_Guidelines,VLOOKUP($H24,FormFactorGuidelines,3,FALSE),FALSE), "")) - $Y24</f>
        <v>3.9</v>
      </c>
      <c r="L24" s="12">
        <f>(IF(OR($G24="Backend"), VLOOKUP($F24,Effort_Estimate_Guidelines,2,FALSE), "")) - $Z24</f>
        <v>0</v>
      </c>
      <c r="M24" s="14"/>
      <c r="N24" s="12">
        <f>(IF(AND($G24="Frontend",OR($H24="Mobile Hybrid", $H24="Responsive")), VLOOKUP($F24,Effort_Estimate_Guidelines,VLOOKUP($H24,FormFactorGuidelines,3,FALSE),FALSE), "")) - $AA24</f>
        <v>3.9</v>
      </c>
      <c r="O24" s="14"/>
      <c r="P24" s="12"/>
      <c r="Q24" s="14"/>
      <c r="R24" s="14"/>
      <c r="S24" s="14"/>
      <c r="T24" s="12">
        <f t="shared" si="1"/>
        <v>0.78</v>
      </c>
      <c r="U24" s="12">
        <f>(IF(AND($G24="Frontend",OR($H24="Responsive", $H24="Web")), VLOOKUP($F24,Effort_Estimate_Guidelines,VLOOKUP($H24,FormFactorGuidelines,4,FALSE),FALSE), "")) - $AB24</f>
        <v>6</v>
      </c>
      <c r="V24" s="12">
        <f t="shared" si="2"/>
        <v>14.58</v>
      </c>
      <c r="W24" s="15"/>
      <c r="X24" s="12"/>
      <c r="Y24" s="13">
        <v>15.0</v>
      </c>
      <c r="Z24" s="12"/>
      <c r="AA24" s="13">
        <v>15.0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</row>
    <row r="25">
      <c r="A25" s="5"/>
      <c r="B25" s="6" t="s">
        <v>57</v>
      </c>
      <c r="C25" s="6" t="s">
        <v>57</v>
      </c>
      <c r="D25" s="6" t="s">
        <v>64</v>
      </c>
      <c r="E25" s="7">
        <v>3.0</v>
      </c>
      <c r="F25" s="8" t="s">
        <v>30</v>
      </c>
      <c r="G25" s="9" t="s">
        <v>31</v>
      </c>
      <c r="H25" s="10" t="s">
        <v>32</v>
      </c>
      <c r="I25" s="11" t="s">
        <v>33</v>
      </c>
      <c r="J25" s="12"/>
      <c r="K25" s="12">
        <f>(IF(AND($G25="Frontend",OR($H25="Responsive", $H25="Web")), VLOOKUP($F25,Effort_Estimate_Guidelines,VLOOKUP($H25,FormFactorGuidelines,3,FALSE),FALSE), "")) - $Y25</f>
        <v>3.9</v>
      </c>
      <c r="L25" s="12">
        <f>(IF(OR($G25="Backend"), VLOOKUP($F25,Effort_Estimate_Guidelines,2,FALSE), "")) - $Z25</f>
        <v>0</v>
      </c>
      <c r="M25" s="14"/>
      <c r="N25" s="12">
        <f>(IF(AND($G25="Frontend",OR($H25="Mobile Hybrid", $H25="Responsive")), VLOOKUP($F25,Effort_Estimate_Guidelines,VLOOKUP($H25,FormFactorGuidelines,3,FALSE),FALSE), "")) - $AA25</f>
        <v>3.9</v>
      </c>
      <c r="O25" s="14"/>
      <c r="P25" s="12"/>
      <c r="Q25" s="14"/>
      <c r="R25" s="14"/>
      <c r="S25" s="14"/>
      <c r="T25" s="12">
        <f t="shared" si="1"/>
        <v>0.78</v>
      </c>
      <c r="U25" s="12">
        <f>(IF(AND($G25="Frontend",OR($H25="Responsive", $H25="Web")), VLOOKUP($F25,Effort_Estimate_Guidelines,VLOOKUP($H25,FormFactorGuidelines,4,FALSE),FALSE), "")) - $AB25</f>
        <v>6</v>
      </c>
      <c r="V25" s="12">
        <f t="shared" si="2"/>
        <v>14.58</v>
      </c>
      <c r="W25" s="15"/>
      <c r="X25" s="12"/>
      <c r="Y25" s="13">
        <v>15.0</v>
      </c>
      <c r="Z25" s="12"/>
      <c r="AA25" s="13">
        <v>15.0</v>
      </c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</row>
    <row r="26">
      <c r="A26" s="5"/>
      <c r="B26" s="6" t="s">
        <v>65</v>
      </c>
      <c r="C26" s="6" t="s">
        <v>65</v>
      </c>
      <c r="D26" s="6" t="s">
        <v>66</v>
      </c>
      <c r="E26" s="7">
        <v>3.0</v>
      </c>
      <c r="F26" s="8" t="s">
        <v>30</v>
      </c>
      <c r="G26" s="9" t="s">
        <v>31</v>
      </c>
      <c r="H26" s="10" t="s">
        <v>32</v>
      </c>
      <c r="I26" s="11" t="s">
        <v>33</v>
      </c>
      <c r="J26" s="12"/>
      <c r="K26" s="12">
        <f>(IF(AND($G26="Frontend",OR($H26="Responsive", $H26="Web")), VLOOKUP($F26,Effort_Estimate_Guidelines,VLOOKUP($H26,FormFactorGuidelines,3,FALSE),FALSE), "")) - $Y26</f>
        <v>3.9</v>
      </c>
      <c r="L26" s="12">
        <f>(IF(OR($G26="Backend"), VLOOKUP($F26,Effort_Estimate_Guidelines,2,FALSE), "")) - $Z26</f>
        <v>0</v>
      </c>
      <c r="M26" s="14"/>
      <c r="N26" s="12">
        <f>(IF(AND($G26="Frontend",OR($H26="Mobile Hybrid", $H26="Responsive")), VLOOKUP($F26,Effort_Estimate_Guidelines,VLOOKUP($H26,FormFactorGuidelines,3,FALSE),FALSE), "")) - $AA26</f>
        <v>3.9</v>
      </c>
      <c r="O26" s="14"/>
      <c r="P26" s="12"/>
      <c r="Q26" s="14"/>
      <c r="R26" s="14"/>
      <c r="S26" s="14"/>
      <c r="T26" s="12">
        <f t="shared" si="1"/>
        <v>0.78</v>
      </c>
      <c r="U26" s="12">
        <f>(IF(AND($G26="Frontend",OR($H26="Responsive", $H26="Web")), VLOOKUP($F26,Effort_Estimate_Guidelines,VLOOKUP($H26,FormFactorGuidelines,4,FALSE),FALSE), "")) - $AB26</f>
        <v>6</v>
      </c>
      <c r="V26" s="12">
        <f t="shared" si="2"/>
        <v>14.58</v>
      </c>
      <c r="W26" s="15"/>
      <c r="X26" s="12"/>
      <c r="Y26" s="13">
        <v>15.0</v>
      </c>
      <c r="Z26" s="12"/>
      <c r="AA26" s="13">
        <v>15.0</v>
      </c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</row>
    <row r="27">
      <c r="A27" s="5"/>
      <c r="B27" s="6" t="s">
        <v>65</v>
      </c>
      <c r="C27" s="6" t="s">
        <v>65</v>
      </c>
      <c r="D27" s="6" t="s">
        <v>67</v>
      </c>
      <c r="E27" s="7">
        <v>3.0</v>
      </c>
      <c r="F27" s="8" t="s">
        <v>30</v>
      </c>
      <c r="G27" s="9" t="s">
        <v>31</v>
      </c>
      <c r="H27" s="10" t="s">
        <v>32</v>
      </c>
      <c r="I27" s="11" t="s">
        <v>33</v>
      </c>
      <c r="J27" s="12"/>
      <c r="K27" s="12">
        <f>(IF(AND($G27="Frontend",OR($H27="Responsive", $H27="Web")), VLOOKUP($F27,Effort_Estimate_Guidelines,VLOOKUP($H27,FormFactorGuidelines,3,FALSE),FALSE), "")) - $Y27</f>
        <v>3.9</v>
      </c>
      <c r="L27" s="12">
        <f>(IF(OR($G27="Backend"), VLOOKUP($F27,Effort_Estimate_Guidelines,2,FALSE), "")) - $Z27</f>
        <v>0</v>
      </c>
      <c r="M27" s="14"/>
      <c r="N27" s="12">
        <f>(IF(AND($G27="Frontend",OR($H27="Mobile Hybrid", $H27="Responsive")), VLOOKUP($F27,Effort_Estimate_Guidelines,VLOOKUP($H27,FormFactorGuidelines,3,FALSE),FALSE), "")) - $AA27</f>
        <v>3.9</v>
      </c>
      <c r="O27" s="14"/>
      <c r="P27" s="12"/>
      <c r="Q27" s="14"/>
      <c r="R27" s="14"/>
      <c r="S27" s="14"/>
      <c r="T27" s="12">
        <f t="shared" si="1"/>
        <v>0.78</v>
      </c>
      <c r="U27" s="12">
        <f>(IF(AND($G27="Frontend",OR($H27="Responsive", $H27="Web")), VLOOKUP($F27,Effort_Estimate_Guidelines,VLOOKUP($H27,FormFactorGuidelines,4,FALSE),FALSE), "")) - $AB27</f>
        <v>6</v>
      </c>
      <c r="V27" s="12">
        <f t="shared" si="2"/>
        <v>14.58</v>
      </c>
      <c r="W27" s="15"/>
      <c r="X27" s="12"/>
      <c r="Y27" s="13">
        <v>15.0</v>
      </c>
      <c r="Z27" s="12"/>
      <c r="AA27" s="13">
        <v>15.0</v>
      </c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</row>
    <row r="28">
      <c r="A28" s="5"/>
      <c r="B28" s="6" t="s">
        <v>65</v>
      </c>
      <c r="C28" s="6" t="s">
        <v>65</v>
      </c>
      <c r="D28" s="6" t="s">
        <v>68</v>
      </c>
      <c r="E28" s="7">
        <v>3.0</v>
      </c>
      <c r="F28" s="8" t="s">
        <v>30</v>
      </c>
      <c r="G28" s="9" t="s">
        <v>31</v>
      </c>
      <c r="H28" s="10" t="s">
        <v>32</v>
      </c>
      <c r="I28" s="11" t="s">
        <v>38</v>
      </c>
      <c r="J28" s="12"/>
      <c r="K28" s="12">
        <f>(IF(AND($G28="Frontend",OR($H28="Responsive", $H28="Web")), VLOOKUP($F28,Effort_Estimate_Guidelines,VLOOKUP($H28,FormFactorGuidelines,3,FALSE),FALSE), "")) - $Y28</f>
        <v>3.9</v>
      </c>
      <c r="L28" s="12">
        <f>(IF(OR($G28="Backend"), VLOOKUP($F28,Effort_Estimate_Guidelines,2,FALSE), "")) - $Z28</f>
        <v>0</v>
      </c>
      <c r="M28" s="14"/>
      <c r="N28" s="12">
        <f>(IF(AND($G28="Frontend",OR($H28="Mobile Hybrid", $H28="Responsive")), VLOOKUP($F28,Effort_Estimate_Guidelines,VLOOKUP($H28,FormFactorGuidelines,3,FALSE),FALSE), "")) - $AA28</f>
        <v>3.9</v>
      </c>
      <c r="O28" s="14"/>
      <c r="P28" s="12"/>
      <c r="Q28" s="14"/>
      <c r="R28" s="14"/>
      <c r="S28" s="14"/>
      <c r="T28" s="12">
        <f t="shared" si="1"/>
        <v>0.78</v>
      </c>
      <c r="U28" s="12">
        <f>(IF(AND($G28="Frontend",OR($H28="Responsive", $H28="Web")), VLOOKUP($F28,Effort_Estimate_Guidelines,VLOOKUP($H28,FormFactorGuidelines,4,FALSE),FALSE), "")) - $AB28</f>
        <v>6</v>
      </c>
      <c r="V28" s="12">
        <f t="shared" si="2"/>
        <v>14.58</v>
      </c>
      <c r="W28" s="15"/>
      <c r="X28" s="12"/>
      <c r="Y28" s="13">
        <v>15.0</v>
      </c>
      <c r="Z28" s="12"/>
      <c r="AA28" s="13">
        <v>15.0</v>
      </c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</row>
    <row r="29">
      <c r="A29" s="5"/>
      <c r="B29" s="6" t="s">
        <v>65</v>
      </c>
      <c r="C29" s="6" t="s">
        <v>65</v>
      </c>
      <c r="D29" s="6" t="s">
        <v>69</v>
      </c>
      <c r="E29" s="7">
        <v>3.0</v>
      </c>
      <c r="F29" s="8" t="s">
        <v>30</v>
      </c>
      <c r="G29" s="9" t="s">
        <v>31</v>
      </c>
      <c r="H29" s="10" t="s">
        <v>32</v>
      </c>
      <c r="I29" s="11" t="s">
        <v>35</v>
      </c>
      <c r="J29" s="12"/>
      <c r="K29" s="12">
        <f>(IF(AND($G29="Frontend",OR($H29="Responsive", $H29="Web")), VLOOKUP($F29,Effort_Estimate_Guidelines,VLOOKUP($H29,FormFactorGuidelines,3,FALSE),FALSE), "")) - $Y29</f>
        <v>3.9</v>
      </c>
      <c r="L29" s="12">
        <f>(IF(OR($G29="Backend"), VLOOKUP($F29,Effort_Estimate_Guidelines,2,FALSE), "")) - $Z29</f>
        <v>0</v>
      </c>
      <c r="M29" s="14"/>
      <c r="N29" s="12">
        <f>(IF(AND($G29="Frontend",OR($H29="Mobile Hybrid", $H29="Responsive")), VLOOKUP($F29,Effort_Estimate_Guidelines,VLOOKUP($H29,FormFactorGuidelines,3,FALSE),FALSE), "")) - $AA29</f>
        <v>3.9</v>
      </c>
      <c r="O29" s="14"/>
      <c r="P29" s="12"/>
      <c r="Q29" s="14"/>
      <c r="R29" s="14"/>
      <c r="S29" s="14"/>
      <c r="T29" s="12">
        <f t="shared" si="1"/>
        <v>0.78</v>
      </c>
      <c r="U29" s="12">
        <f>(IF(AND($G29="Frontend",OR($H29="Responsive", $H29="Web")), VLOOKUP($F29,Effort_Estimate_Guidelines,VLOOKUP($H29,FormFactorGuidelines,4,FALSE),FALSE), "")) - $AB29</f>
        <v>6</v>
      </c>
      <c r="V29" s="12">
        <f t="shared" si="2"/>
        <v>14.58</v>
      </c>
      <c r="W29" s="15"/>
      <c r="X29" s="12"/>
      <c r="Y29" s="13">
        <v>15.0</v>
      </c>
      <c r="Z29" s="12"/>
      <c r="AA29" s="13">
        <v>15.0</v>
      </c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</row>
    <row r="30">
      <c r="A30" s="5"/>
      <c r="B30" s="6" t="s">
        <v>70</v>
      </c>
      <c r="C30" s="6" t="s">
        <v>70</v>
      </c>
      <c r="D30" s="6" t="s">
        <v>71</v>
      </c>
      <c r="E30" s="7">
        <v>3.0</v>
      </c>
      <c r="F30" s="8" t="s">
        <v>30</v>
      </c>
      <c r="G30" s="9" t="s">
        <v>31</v>
      </c>
      <c r="H30" s="10" t="s">
        <v>32</v>
      </c>
      <c r="I30" s="11" t="s">
        <v>33</v>
      </c>
      <c r="J30" s="12"/>
      <c r="K30" s="13">
        <v>9.0</v>
      </c>
      <c r="L30" s="12">
        <f>(IF(OR($G30="Backend"), VLOOKUP($F30,Effort_Estimate_Guidelines,2,FALSE), "")) - $Z30</f>
        <v>0</v>
      </c>
      <c r="M30" s="14"/>
      <c r="N30" s="13">
        <v>9.0</v>
      </c>
      <c r="O30" s="14"/>
      <c r="P30" s="12"/>
      <c r="Q30" s="14"/>
      <c r="R30" s="14"/>
      <c r="S30" s="14"/>
      <c r="T30" s="12">
        <f t="shared" si="1"/>
        <v>1.8</v>
      </c>
      <c r="U30" s="12">
        <f>(IF(AND($G30="Frontend",OR($H30="Responsive", $H30="Web")), VLOOKUP($F30,Effort_Estimate_Guidelines,VLOOKUP($H30,FormFactorGuidelines,4,FALSE),FALSE), "")) - $AB30</f>
        <v>6</v>
      </c>
      <c r="V30" s="12">
        <f t="shared" si="2"/>
        <v>25.8</v>
      </c>
      <c r="W30" s="15"/>
      <c r="X30" s="12"/>
      <c r="Y30" s="13">
        <v>15.0</v>
      </c>
      <c r="Z30" s="12"/>
      <c r="AA30" s="13">
        <v>15.0</v>
      </c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</row>
    <row r="31">
      <c r="A31" s="28"/>
      <c r="B31" s="29" t="s">
        <v>70</v>
      </c>
      <c r="C31" s="29" t="s">
        <v>72</v>
      </c>
      <c r="D31" s="30" t="s">
        <v>73</v>
      </c>
      <c r="E31" s="31">
        <v>3.0</v>
      </c>
      <c r="F31" s="8" t="s">
        <v>30</v>
      </c>
      <c r="G31" s="31" t="s">
        <v>31</v>
      </c>
      <c r="H31" s="32" t="s">
        <v>32</v>
      </c>
      <c r="I31" s="11" t="s">
        <v>33</v>
      </c>
      <c r="J31" s="24"/>
      <c r="K31" s="24">
        <f>(IF(AND($G31="Frontend",OR($H31="Responsive", $H31="Web")), VLOOKUP($F31,Effort_Estimate_Guidelines,VLOOKUP($H31,FormFactorGuidelines,3,FALSE),FALSE), "")) - $Y31</f>
        <v>3.9</v>
      </c>
      <c r="L31" s="24">
        <f>(IF(OR($G31="Backend"), VLOOKUP($F31,Effort_Estimate_Guidelines,2,FALSE), "")) - $Z31</f>
        <v>0</v>
      </c>
      <c r="M31" s="25"/>
      <c r="N31" s="12">
        <f>(IF(AND($G31="Frontend",OR($H31="Mobile Hybrid", $H31="Responsive")), VLOOKUP($F31,Effort_Estimate_Guidelines,VLOOKUP($H31,FormFactorGuidelines,3,FALSE),FALSE), "")) - $AA31</f>
        <v>3.9</v>
      </c>
      <c r="O31" s="25"/>
      <c r="P31" s="26"/>
      <c r="Q31" s="25"/>
      <c r="R31" s="25"/>
      <c r="S31" s="25"/>
      <c r="T31" s="24">
        <f t="shared" si="1"/>
        <v>0.78</v>
      </c>
      <c r="U31" s="24">
        <f>(IF(AND($G31="Frontend",OR($H31="Responsive", $H31="Web")), VLOOKUP($F31,Effort_Estimate_Guidelines,VLOOKUP($H31,FormFactorGuidelines,4,FALSE),FALSE), "")) - $AB31</f>
        <v>6</v>
      </c>
      <c r="V31" s="24">
        <f t="shared" si="2"/>
        <v>14.58</v>
      </c>
      <c r="W31" s="25"/>
      <c r="X31" s="26"/>
      <c r="Y31" s="13">
        <v>15.0</v>
      </c>
      <c r="Z31" s="26"/>
      <c r="AA31" s="13">
        <v>15.0</v>
      </c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</row>
    <row r="32">
      <c r="A32" s="33">
        <v>101.0</v>
      </c>
      <c r="B32" s="6" t="s">
        <v>70</v>
      </c>
      <c r="C32" s="6" t="s">
        <v>70</v>
      </c>
      <c r="D32" s="6" t="s">
        <v>74</v>
      </c>
      <c r="E32" s="7">
        <v>3.0</v>
      </c>
      <c r="F32" s="8" t="s">
        <v>30</v>
      </c>
      <c r="G32" s="9" t="s">
        <v>31</v>
      </c>
      <c r="H32" s="10" t="s">
        <v>32</v>
      </c>
      <c r="I32" s="11" t="s">
        <v>33</v>
      </c>
      <c r="J32" s="12"/>
      <c r="K32" s="13">
        <v>9.0</v>
      </c>
      <c r="L32" s="12">
        <f>(IF(OR($G32="Backend"), VLOOKUP($F32,Effort_Estimate_Guidelines,2,FALSE), "")) - $Z32</f>
        <v>0</v>
      </c>
      <c r="M32" s="17">
        <v>40.0</v>
      </c>
      <c r="N32" s="13">
        <v>9.0</v>
      </c>
      <c r="O32" s="14"/>
      <c r="P32" s="12"/>
      <c r="Q32" s="14"/>
      <c r="R32" s="14"/>
      <c r="S32" s="14"/>
      <c r="T32" s="12">
        <f t="shared" si="1"/>
        <v>1.8</v>
      </c>
      <c r="U32" s="12">
        <f>(IF(AND($G32="Frontend",OR($H32="Responsive", $H32="Web")), VLOOKUP($F32,Effort_Estimate_Guidelines,VLOOKUP($H32,FormFactorGuidelines,4,FALSE),FALSE), "")) - $AB32</f>
        <v>6</v>
      </c>
      <c r="V32" s="12">
        <f t="shared" si="2"/>
        <v>65.8</v>
      </c>
      <c r="W32" s="15"/>
      <c r="X32" s="12"/>
      <c r="Y32" s="13">
        <v>15.0</v>
      </c>
      <c r="Z32" s="12"/>
      <c r="AA32" s="13">
        <v>15.0</v>
      </c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</row>
    <row r="33">
      <c r="A33" s="5"/>
      <c r="B33" s="6" t="s">
        <v>70</v>
      </c>
      <c r="C33" s="6" t="s">
        <v>70</v>
      </c>
      <c r="D33" s="6" t="s">
        <v>75</v>
      </c>
      <c r="E33" s="7">
        <v>3.0</v>
      </c>
      <c r="F33" s="8" t="s">
        <v>30</v>
      </c>
      <c r="G33" s="9" t="s">
        <v>31</v>
      </c>
      <c r="H33" s="10" t="s">
        <v>32</v>
      </c>
      <c r="I33" s="11" t="s">
        <v>33</v>
      </c>
      <c r="J33" s="12"/>
      <c r="K33" s="12">
        <f>(IF(AND($G33="Frontend",OR($H33="Responsive", $H33="Web")), VLOOKUP($F33,Effort_Estimate_Guidelines,VLOOKUP($H33,FormFactorGuidelines,3,FALSE),FALSE), "")) - $Y33</f>
        <v>3.9</v>
      </c>
      <c r="L33" s="12">
        <f>(IF(OR($G33="Backend"), VLOOKUP($F33,Effort_Estimate_Guidelines,2,FALSE), "")) - $Z33</f>
        <v>0</v>
      </c>
      <c r="M33" s="14"/>
      <c r="N33" s="12">
        <f>(IF(AND($G33="Frontend",OR($H33="Mobile Hybrid", $H33="Responsive")), VLOOKUP($F33,Effort_Estimate_Guidelines,VLOOKUP($H33,FormFactorGuidelines,3,FALSE),FALSE), "")) - $AA33</f>
        <v>3.9</v>
      </c>
      <c r="O33" s="14"/>
      <c r="P33" s="12"/>
      <c r="Q33" s="14"/>
      <c r="R33" s="14"/>
      <c r="S33" s="14"/>
      <c r="T33" s="12">
        <f t="shared" si="1"/>
        <v>0.78</v>
      </c>
      <c r="U33" s="12">
        <f>(IF(AND($G33="Frontend",OR($H33="Responsive", $H33="Web")), VLOOKUP($F33,Effort_Estimate_Guidelines,VLOOKUP($H33,FormFactorGuidelines,4,FALSE),FALSE), "")) - $AB33</f>
        <v>6</v>
      </c>
      <c r="V33" s="12">
        <f t="shared" si="2"/>
        <v>14.58</v>
      </c>
      <c r="W33" s="15"/>
      <c r="X33" s="12"/>
      <c r="Y33" s="13">
        <v>15.0</v>
      </c>
      <c r="Z33" s="12"/>
      <c r="AA33" s="13">
        <v>15.0</v>
      </c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</row>
    <row r="34">
      <c r="A34" s="28"/>
      <c r="B34" s="29" t="s">
        <v>70</v>
      </c>
      <c r="C34" s="29" t="s">
        <v>72</v>
      </c>
      <c r="D34" s="30" t="s">
        <v>76</v>
      </c>
      <c r="E34" s="31">
        <v>3.0</v>
      </c>
      <c r="F34" s="34" t="s">
        <v>30</v>
      </c>
      <c r="G34" s="31" t="s">
        <v>31</v>
      </c>
      <c r="H34" s="32" t="s">
        <v>32</v>
      </c>
      <c r="I34" s="11" t="s">
        <v>33</v>
      </c>
      <c r="J34" s="24"/>
      <c r="K34" s="24">
        <f>(IF(AND($G34="Frontend",OR($H34="Responsive", $H34="Web")), VLOOKUP($F34,Effort_Estimate_Guidelines,VLOOKUP($H34,FormFactorGuidelines,3,FALSE),FALSE), "")) - $Y34</f>
        <v>8.9</v>
      </c>
      <c r="L34" s="24">
        <f>(IF(OR($G34="Backend"), VLOOKUP($F34,Effort_Estimate_Guidelines,2,FALSE), "")) - $Z34</f>
        <v>0</v>
      </c>
      <c r="M34" s="25"/>
      <c r="N34" s="12">
        <f>(IF(AND($G34="Frontend",OR($H34="Mobile Hybrid", $H34="Responsive")), VLOOKUP($F34,Effort_Estimate_Guidelines,VLOOKUP($H34,FormFactorGuidelines,3,FALSE),FALSE), "")) - $AA34</f>
        <v>8.9</v>
      </c>
      <c r="O34" s="25"/>
      <c r="P34" s="26"/>
      <c r="Q34" s="25"/>
      <c r="R34" s="25"/>
      <c r="S34" s="25"/>
      <c r="T34" s="24">
        <f t="shared" si="1"/>
        <v>1.78</v>
      </c>
      <c r="U34" s="24">
        <f>(IF(AND($G34="Frontend",OR($H34="Responsive", $H34="Web")), VLOOKUP($F34,Effort_Estimate_Guidelines,VLOOKUP($H34,FormFactorGuidelines,4,FALSE),FALSE), "")) - $AB34</f>
        <v>6</v>
      </c>
      <c r="V34" s="24">
        <f t="shared" si="2"/>
        <v>25.58</v>
      </c>
      <c r="W34" s="25"/>
      <c r="X34" s="26"/>
      <c r="Y34" s="13">
        <v>10.0</v>
      </c>
      <c r="Z34" s="26"/>
      <c r="AA34" s="13">
        <v>10.0</v>
      </c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</row>
    <row r="35">
      <c r="A35" s="28"/>
      <c r="B35" s="29" t="s">
        <v>70</v>
      </c>
      <c r="C35" s="29" t="s">
        <v>72</v>
      </c>
      <c r="D35" s="30" t="s">
        <v>77</v>
      </c>
      <c r="E35" s="31">
        <v>3.0</v>
      </c>
      <c r="F35" s="35" t="s">
        <v>30</v>
      </c>
      <c r="G35" s="31" t="s">
        <v>31</v>
      </c>
      <c r="H35" s="32" t="s">
        <v>32</v>
      </c>
      <c r="I35" s="11" t="s">
        <v>33</v>
      </c>
      <c r="J35" s="24"/>
      <c r="K35" s="24">
        <f>(IF(AND($G35="Frontend",OR($H35="Responsive", $H35="Web")), VLOOKUP($F35,Effort_Estimate_Guidelines,VLOOKUP($H35,FormFactorGuidelines,3,FALSE),FALSE), "")) - $Y35</f>
        <v>3.9</v>
      </c>
      <c r="L35" s="24">
        <f>(IF(OR($G35="Backend"), VLOOKUP($F35,Effort_Estimate_Guidelines,2,FALSE), "")) - $Z35</f>
        <v>0</v>
      </c>
      <c r="M35" s="25"/>
      <c r="N35" s="12">
        <f>(IF(AND($G35="Frontend",OR($H35="Mobile Hybrid", $H35="Responsive")), VLOOKUP($F35,Effort_Estimate_Guidelines,VLOOKUP($H35,FormFactorGuidelines,3,FALSE),FALSE), "")) - $AA35</f>
        <v>3.9</v>
      </c>
      <c r="O35" s="25"/>
      <c r="P35" s="26"/>
      <c r="Q35" s="25"/>
      <c r="R35" s="25"/>
      <c r="S35" s="25"/>
      <c r="T35" s="24">
        <f t="shared" si="1"/>
        <v>0.78</v>
      </c>
      <c r="U35" s="24">
        <f>(IF(AND($G35="Frontend",OR($H35="Responsive", $H35="Web")), VLOOKUP($F35,Effort_Estimate_Guidelines,VLOOKUP($H35,FormFactorGuidelines,4,FALSE),FALSE), "")) - $AB35</f>
        <v>6</v>
      </c>
      <c r="V35" s="24">
        <f t="shared" si="2"/>
        <v>14.58</v>
      </c>
      <c r="W35" s="25"/>
      <c r="X35" s="26"/>
      <c r="Y35" s="13">
        <v>15.0</v>
      </c>
      <c r="Z35" s="26"/>
      <c r="AA35" s="13">
        <v>15.0</v>
      </c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</row>
    <row r="36">
      <c r="A36" s="28"/>
      <c r="B36" s="30" t="s">
        <v>78</v>
      </c>
      <c r="C36" s="30" t="s">
        <v>78</v>
      </c>
      <c r="D36" s="30" t="s">
        <v>79</v>
      </c>
      <c r="E36" s="31">
        <v>3.0</v>
      </c>
      <c r="F36" s="35" t="s">
        <v>30</v>
      </c>
      <c r="G36" s="31" t="s">
        <v>31</v>
      </c>
      <c r="H36" s="32" t="s">
        <v>32</v>
      </c>
      <c r="I36" s="11" t="s">
        <v>38</v>
      </c>
      <c r="J36" s="24"/>
      <c r="K36" s="24">
        <f>(IF(AND($G36="Frontend",OR($H36="Responsive", $H36="Web")), VLOOKUP($F36,Effort_Estimate_Guidelines,VLOOKUP($H36,FormFactorGuidelines,3,FALSE),FALSE), "")) - $Y36</f>
        <v>3.9</v>
      </c>
      <c r="L36" s="24">
        <f>(IF(OR($G36="Backend"), VLOOKUP($F36,Effort_Estimate_Guidelines,2,FALSE), "")) - $Z36</f>
        <v>0</v>
      </c>
      <c r="M36" s="25"/>
      <c r="N36" s="12">
        <f>(IF(AND($G36="Frontend",OR($H36="Mobile Hybrid", $H36="Responsive")), VLOOKUP($F36,Effort_Estimate_Guidelines,VLOOKUP($H36,FormFactorGuidelines,3,FALSE),FALSE), "")) - $AA36</f>
        <v>3.9</v>
      </c>
      <c r="O36" s="25"/>
      <c r="P36" s="26"/>
      <c r="Q36" s="25"/>
      <c r="R36" s="25"/>
      <c r="S36" s="25"/>
      <c r="T36" s="24">
        <f t="shared" si="1"/>
        <v>0.78</v>
      </c>
      <c r="U36" s="24">
        <f>(IF(AND($G36="Frontend",OR($H36="Responsive", $H36="Web")), VLOOKUP($F36,Effort_Estimate_Guidelines,VLOOKUP($H36,FormFactorGuidelines,4,FALSE),FALSE), "")) - $AB36</f>
        <v>6</v>
      </c>
      <c r="V36" s="24">
        <f t="shared" si="2"/>
        <v>14.58</v>
      </c>
      <c r="W36" s="25"/>
      <c r="X36" s="26"/>
      <c r="Y36" s="36">
        <v>15.0</v>
      </c>
      <c r="Z36" s="26"/>
      <c r="AA36" s="36">
        <v>15.0</v>
      </c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</row>
    <row r="37">
      <c r="A37" s="28"/>
      <c r="B37" s="37" t="s">
        <v>78</v>
      </c>
      <c r="C37" s="37" t="s">
        <v>78</v>
      </c>
      <c r="D37" s="30" t="s">
        <v>80</v>
      </c>
      <c r="E37" s="31">
        <v>3.0</v>
      </c>
      <c r="F37" s="34" t="s">
        <v>30</v>
      </c>
      <c r="G37" s="31" t="s">
        <v>31</v>
      </c>
      <c r="H37" s="32" t="s">
        <v>32</v>
      </c>
      <c r="I37" s="11" t="s">
        <v>38</v>
      </c>
      <c r="J37" s="24"/>
      <c r="K37" s="24">
        <f>(IF(AND($G37="Frontend",OR($H37="Responsive", $H37="Web")), VLOOKUP($F37,Effort_Estimate_Guidelines,VLOOKUP($H37,FormFactorGuidelines,3,FALSE),FALSE), "")) - $Y37</f>
        <v>3.9</v>
      </c>
      <c r="L37" s="24">
        <f>(IF(OR($G37="Backend"), VLOOKUP($F37,Effort_Estimate_Guidelines,2,FALSE), "")) - $Z37</f>
        <v>0</v>
      </c>
      <c r="M37" s="25"/>
      <c r="N37" s="12">
        <f>(IF(AND($G37="Frontend",OR($H37="Mobile Hybrid", $H37="Responsive")), VLOOKUP($F37,Effort_Estimate_Guidelines,VLOOKUP($H37,FormFactorGuidelines,3,FALSE),FALSE), "")) - $AA37</f>
        <v>3.9</v>
      </c>
      <c r="O37" s="25"/>
      <c r="P37" s="26"/>
      <c r="Q37" s="25"/>
      <c r="R37" s="25"/>
      <c r="S37" s="25"/>
      <c r="T37" s="24">
        <f t="shared" si="1"/>
        <v>0.78</v>
      </c>
      <c r="U37" s="24">
        <f>(IF(AND($G37="Frontend",OR($H37="Responsive", $H37="Web")), VLOOKUP($F37,Effort_Estimate_Guidelines,VLOOKUP($H37,FormFactorGuidelines,4,FALSE),FALSE), "")) - $AB37</f>
        <v>6</v>
      </c>
      <c r="V37" s="24">
        <f t="shared" si="2"/>
        <v>14.58</v>
      </c>
      <c r="W37" s="25"/>
      <c r="X37" s="26"/>
      <c r="Y37" s="36">
        <v>15.0</v>
      </c>
      <c r="Z37" s="26"/>
      <c r="AA37" s="36">
        <v>15.0</v>
      </c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</row>
    <row r="38">
      <c r="A38" s="28"/>
      <c r="B38" s="37" t="s">
        <v>78</v>
      </c>
      <c r="C38" s="37" t="s">
        <v>78</v>
      </c>
      <c r="D38" s="30" t="s">
        <v>81</v>
      </c>
      <c r="E38" s="31">
        <v>3.0</v>
      </c>
      <c r="F38" s="34" t="s">
        <v>30</v>
      </c>
      <c r="G38" s="31" t="s">
        <v>31</v>
      </c>
      <c r="H38" s="32" t="s">
        <v>32</v>
      </c>
      <c r="I38" s="11" t="s">
        <v>38</v>
      </c>
      <c r="J38" s="24"/>
      <c r="K38" s="24">
        <f>(IF(AND($G38="Frontend",OR($H38="Responsive", $H38="Web")), VLOOKUP($F38,Effort_Estimate_Guidelines,VLOOKUP($H38,FormFactorGuidelines,3,FALSE),FALSE), "")) - $Y38</f>
        <v>3.9</v>
      </c>
      <c r="L38" s="24">
        <f>(IF(OR($G38="Backend"), VLOOKUP($F38,Effort_Estimate_Guidelines,2,FALSE), "")) - $Z38</f>
        <v>0</v>
      </c>
      <c r="M38" s="25"/>
      <c r="N38" s="12">
        <f>(IF(AND($G38="Frontend",OR($H38="Mobile Hybrid", $H38="Responsive")), VLOOKUP($F38,Effort_Estimate_Guidelines,VLOOKUP($H38,FormFactorGuidelines,3,FALSE),FALSE), "")) - $AA38</f>
        <v>3.9</v>
      </c>
      <c r="O38" s="25"/>
      <c r="P38" s="26"/>
      <c r="Q38" s="25"/>
      <c r="R38" s="25"/>
      <c r="S38" s="25"/>
      <c r="T38" s="24">
        <f t="shared" si="1"/>
        <v>0.78</v>
      </c>
      <c r="U38" s="24">
        <f>(IF(AND($G38="Frontend",OR($H38="Responsive", $H38="Web")), VLOOKUP($F38,Effort_Estimate_Guidelines,VLOOKUP($H38,FormFactorGuidelines,4,FALSE),FALSE), "")) - $AB38</f>
        <v>6</v>
      </c>
      <c r="V38" s="24">
        <f t="shared" si="2"/>
        <v>14.58</v>
      </c>
      <c r="W38" s="25"/>
      <c r="X38" s="26"/>
      <c r="Y38" s="36">
        <v>15.0</v>
      </c>
      <c r="Z38" s="26"/>
      <c r="AA38" s="36">
        <v>15.0</v>
      </c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</row>
    <row r="39">
      <c r="A39" s="28"/>
      <c r="B39" s="30" t="s">
        <v>82</v>
      </c>
      <c r="C39" s="30" t="s">
        <v>83</v>
      </c>
      <c r="D39" s="30" t="s">
        <v>84</v>
      </c>
      <c r="E39" s="31">
        <v>3.0</v>
      </c>
      <c r="F39" s="34" t="s">
        <v>30</v>
      </c>
      <c r="G39" s="31" t="s">
        <v>31</v>
      </c>
      <c r="H39" s="32" t="s">
        <v>32</v>
      </c>
      <c r="I39" s="11" t="s">
        <v>38</v>
      </c>
      <c r="J39" s="24"/>
      <c r="K39" s="24">
        <f>(IF(AND($G39="Frontend",OR($H39="Responsive", $H39="Web")), VLOOKUP($F39,Effort_Estimate_Guidelines,VLOOKUP($H39,FormFactorGuidelines,3,FALSE),FALSE), "")) - $Y39</f>
        <v>3.9</v>
      </c>
      <c r="L39" s="24">
        <f>(IF(OR($G39="Backend"), VLOOKUP($F39,Effort_Estimate_Guidelines,2,FALSE), "")) - $Z39</f>
        <v>0</v>
      </c>
      <c r="M39" s="25"/>
      <c r="N39" s="12">
        <f>(IF(AND($G39="Frontend",OR($H39="Mobile Hybrid", $H39="Responsive")), VLOOKUP($F39,Effort_Estimate_Guidelines,VLOOKUP($H39,FormFactorGuidelines,3,FALSE),FALSE), "")) - $AA39</f>
        <v>3.9</v>
      </c>
      <c r="O39" s="25"/>
      <c r="P39" s="26"/>
      <c r="Q39" s="25"/>
      <c r="R39" s="25"/>
      <c r="S39" s="25"/>
      <c r="T39" s="24">
        <f t="shared" si="1"/>
        <v>0.78</v>
      </c>
      <c r="U39" s="24">
        <f>(IF(AND($G39="Frontend",OR($H39="Responsive", $H39="Web")), VLOOKUP($F39,Effort_Estimate_Guidelines,VLOOKUP($H39,FormFactorGuidelines,4,FALSE),FALSE), "")) - $AB39</f>
        <v>6</v>
      </c>
      <c r="V39" s="24">
        <f t="shared" si="2"/>
        <v>14.58</v>
      </c>
      <c r="W39" s="25"/>
      <c r="X39" s="26"/>
      <c r="Y39" s="36">
        <v>15.0</v>
      </c>
      <c r="Z39" s="26"/>
      <c r="AA39" s="36">
        <v>15.0</v>
      </c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</row>
    <row r="40">
      <c r="A40" s="5"/>
      <c r="B40" s="6" t="s">
        <v>85</v>
      </c>
      <c r="C40" s="6" t="s">
        <v>85</v>
      </c>
      <c r="D40" s="6" t="s">
        <v>86</v>
      </c>
      <c r="E40" s="7">
        <v>3.0</v>
      </c>
      <c r="F40" s="8" t="s">
        <v>30</v>
      </c>
      <c r="G40" s="9" t="s">
        <v>31</v>
      </c>
      <c r="H40" s="10" t="s">
        <v>32</v>
      </c>
      <c r="I40" s="11" t="s">
        <v>35</v>
      </c>
      <c r="J40" s="12"/>
      <c r="K40" s="12">
        <f>(IF(AND($G40="Frontend",OR($H40="Responsive", $H40="Web")), VLOOKUP($F40,Effort_Estimate_Guidelines,VLOOKUP($H40,FormFactorGuidelines,3,FALSE),FALSE), "")) - $Y40</f>
        <v>3.9</v>
      </c>
      <c r="L40" s="12">
        <f>(IF(OR($G40="Backend"), VLOOKUP($F40,Effort_Estimate_Guidelines,2,FALSE), "")) - $Z40</f>
        <v>0</v>
      </c>
      <c r="M40" s="14"/>
      <c r="N40" s="12">
        <f>(IF(AND($G40="Frontend",OR($H40="Mobile Hybrid", $H40="Responsive")), VLOOKUP($F40,Effort_Estimate_Guidelines,VLOOKUP($H40,FormFactorGuidelines,3,FALSE),FALSE), "")) - $AA40</f>
        <v>3.9</v>
      </c>
      <c r="O40" s="14"/>
      <c r="P40" s="12"/>
      <c r="Q40" s="14"/>
      <c r="R40" s="14"/>
      <c r="S40" s="14"/>
      <c r="T40" s="12">
        <f t="shared" si="1"/>
        <v>0.78</v>
      </c>
      <c r="U40" s="12">
        <f>(IF(AND($G40="Frontend",OR($H40="Responsive", $H40="Web")), VLOOKUP($F40,Effort_Estimate_Guidelines,VLOOKUP($H40,FormFactorGuidelines,4,FALSE),FALSE), "")) - $AB40</f>
        <v>6</v>
      </c>
      <c r="V40" s="12">
        <f t="shared" si="2"/>
        <v>14.58</v>
      </c>
      <c r="W40" s="15"/>
      <c r="X40" s="12"/>
      <c r="Y40" s="36">
        <v>15.0</v>
      </c>
      <c r="Z40" s="12"/>
      <c r="AA40" s="36">
        <v>15.0</v>
      </c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</row>
    <row r="41">
      <c r="A41" s="5"/>
      <c r="B41" s="6" t="s">
        <v>85</v>
      </c>
      <c r="C41" s="6" t="s">
        <v>85</v>
      </c>
      <c r="D41" s="6" t="s">
        <v>87</v>
      </c>
      <c r="E41" s="7">
        <v>3.0</v>
      </c>
      <c r="F41" s="8" t="s">
        <v>30</v>
      </c>
      <c r="G41" s="9" t="s">
        <v>31</v>
      </c>
      <c r="H41" s="10" t="s">
        <v>32</v>
      </c>
      <c r="I41" s="11" t="s">
        <v>35</v>
      </c>
      <c r="J41" s="12"/>
      <c r="K41" s="12">
        <f>(IF(AND($G41="Frontend",OR($H41="Responsive", $H41="Web")), VLOOKUP($F41,Effort_Estimate_Guidelines,VLOOKUP($H41,FormFactorGuidelines,3,FALSE),FALSE), "")) - $Y41</f>
        <v>3.9</v>
      </c>
      <c r="L41" s="12">
        <f>(IF(OR($G41="Backend"), VLOOKUP($F41,Effort_Estimate_Guidelines,2,FALSE), "")) - $Z41</f>
        <v>0</v>
      </c>
      <c r="M41" s="14"/>
      <c r="N41" s="12">
        <f>(IF(AND($G41="Frontend",OR($H41="Mobile Hybrid", $H41="Responsive")), VLOOKUP($F41,Effort_Estimate_Guidelines,VLOOKUP($H41,FormFactorGuidelines,3,FALSE),FALSE), "")) - $AA41</f>
        <v>3.9</v>
      </c>
      <c r="O41" s="14"/>
      <c r="P41" s="12"/>
      <c r="Q41" s="14"/>
      <c r="R41" s="14"/>
      <c r="S41" s="14"/>
      <c r="T41" s="12">
        <f t="shared" si="1"/>
        <v>0.78</v>
      </c>
      <c r="U41" s="12">
        <f>(IF(AND($G41="Frontend",OR($H41="Responsive", $H41="Web")), VLOOKUP($F41,Effort_Estimate_Guidelines,VLOOKUP($H41,FormFactorGuidelines,4,FALSE),FALSE), "")) - $AB41</f>
        <v>6</v>
      </c>
      <c r="V41" s="12">
        <f t="shared" si="2"/>
        <v>14.58</v>
      </c>
      <c r="W41" s="15"/>
      <c r="X41" s="12"/>
      <c r="Y41" s="36">
        <v>15.0</v>
      </c>
      <c r="Z41" s="12"/>
      <c r="AA41" s="36">
        <v>15.0</v>
      </c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</row>
    <row r="42">
      <c r="A42" s="5"/>
      <c r="B42" s="6" t="s">
        <v>88</v>
      </c>
      <c r="C42" s="6" t="s">
        <v>88</v>
      </c>
      <c r="D42" s="6" t="s">
        <v>89</v>
      </c>
      <c r="E42" s="7">
        <v>3.0</v>
      </c>
      <c r="F42" s="8" t="s">
        <v>30</v>
      </c>
      <c r="G42" s="9" t="s">
        <v>31</v>
      </c>
      <c r="H42" s="10" t="s">
        <v>32</v>
      </c>
      <c r="I42" s="11" t="s">
        <v>33</v>
      </c>
      <c r="J42" s="12"/>
      <c r="K42" s="12">
        <f>(IF(AND($G42="Frontend",OR($H42="Responsive", $H42="Web")), VLOOKUP($F42,Effort_Estimate_Guidelines,VLOOKUP($H42,FormFactorGuidelines,3,FALSE),FALSE), "")) - $Y42</f>
        <v>3.9</v>
      </c>
      <c r="L42" s="12">
        <f>(IF(OR($G42="Backend"), VLOOKUP($F42,Effort_Estimate_Guidelines,2,FALSE), "")) - $Z42</f>
        <v>0</v>
      </c>
      <c r="M42" s="14"/>
      <c r="N42" s="12">
        <f>(IF(AND($G42="Frontend",OR($H42="Mobile Hybrid", $H42="Responsive")), VLOOKUP($F42,Effort_Estimate_Guidelines,VLOOKUP($H42,FormFactorGuidelines,3,FALSE),FALSE), "")) - $AA42</f>
        <v>3.9</v>
      </c>
      <c r="O42" s="14"/>
      <c r="P42" s="12"/>
      <c r="Q42" s="14"/>
      <c r="R42" s="14"/>
      <c r="S42" s="14"/>
      <c r="T42" s="12">
        <f t="shared" si="1"/>
        <v>0.78</v>
      </c>
      <c r="U42" s="12">
        <f>(IF(AND($G42="Frontend",OR($H42="Responsive", $H42="Web")), VLOOKUP($F42,Effort_Estimate_Guidelines,VLOOKUP($H42,FormFactorGuidelines,4,FALSE),FALSE), "")) - $AB42</f>
        <v>6</v>
      </c>
      <c r="V42" s="12">
        <f t="shared" si="2"/>
        <v>14.58</v>
      </c>
      <c r="W42" s="15"/>
      <c r="X42" s="12"/>
      <c r="Y42" s="36">
        <v>15.0</v>
      </c>
      <c r="Z42" s="12"/>
      <c r="AA42" s="36">
        <v>15.0</v>
      </c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</row>
    <row r="43">
      <c r="A43" s="33">
        <v>101.0</v>
      </c>
      <c r="B43" s="6" t="s">
        <v>88</v>
      </c>
      <c r="C43" s="6" t="s">
        <v>88</v>
      </c>
      <c r="D43" s="6" t="s">
        <v>90</v>
      </c>
      <c r="E43" s="7">
        <v>3.0</v>
      </c>
      <c r="F43" s="8" t="s">
        <v>30</v>
      </c>
      <c r="G43" s="9" t="s">
        <v>31</v>
      </c>
      <c r="H43" s="10" t="s">
        <v>32</v>
      </c>
      <c r="I43" s="11" t="s">
        <v>35</v>
      </c>
      <c r="J43" s="12"/>
      <c r="K43" s="12">
        <f>(IF(AND($G43="Frontend",OR($H43="Responsive", $H43="Web")), VLOOKUP($F43,Effort_Estimate_Guidelines,VLOOKUP($H43,FormFactorGuidelines,3,FALSE),FALSE), "")) - $Y43</f>
        <v>3.9</v>
      </c>
      <c r="L43" s="12">
        <f>(IF(OR($G43="Backend"), VLOOKUP($F43,Effort_Estimate_Guidelines,2,FALSE), "")) - $Z43</f>
        <v>0</v>
      </c>
      <c r="M43" s="14"/>
      <c r="N43" s="12">
        <f>(IF(AND($G43="Frontend",OR($H43="Mobile Hybrid", $H43="Responsive")), VLOOKUP($F43,Effort_Estimate_Guidelines,VLOOKUP($H43,FormFactorGuidelines,3,FALSE),FALSE), "")) - $AA43</f>
        <v>3.9</v>
      </c>
      <c r="O43" s="14"/>
      <c r="P43" s="12"/>
      <c r="Q43" s="14"/>
      <c r="R43" s="14"/>
      <c r="S43" s="14"/>
      <c r="T43" s="12">
        <f t="shared" si="1"/>
        <v>0.78</v>
      </c>
      <c r="U43" s="12">
        <f>(IF(AND($G43="Frontend",OR($H43="Responsive", $H43="Web")), VLOOKUP($F43,Effort_Estimate_Guidelines,VLOOKUP($H43,FormFactorGuidelines,4,FALSE),FALSE), "")) - $AB43</f>
        <v>6</v>
      </c>
      <c r="V43" s="12">
        <f t="shared" si="2"/>
        <v>14.58</v>
      </c>
      <c r="W43" s="15"/>
      <c r="X43" s="12"/>
      <c r="Y43" s="36">
        <v>15.0</v>
      </c>
      <c r="Z43" s="12"/>
      <c r="AA43" s="36">
        <v>15.0</v>
      </c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</row>
    <row r="44">
      <c r="A44" s="5"/>
      <c r="B44" s="6" t="s">
        <v>91</v>
      </c>
      <c r="C44" s="6" t="s">
        <v>91</v>
      </c>
      <c r="D44" s="6" t="s">
        <v>92</v>
      </c>
      <c r="E44" s="7">
        <v>3.0</v>
      </c>
      <c r="F44" s="8" t="s">
        <v>30</v>
      </c>
      <c r="G44" s="9" t="s">
        <v>31</v>
      </c>
      <c r="H44" s="10" t="s">
        <v>32</v>
      </c>
      <c r="I44" s="11" t="s">
        <v>35</v>
      </c>
      <c r="J44" s="12"/>
      <c r="K44" s="12">
        <f>(IF(AND($G44="Frontend",OR($H44="Responsive", $H44="Web")), VLOOKUP($F44,Effort_Estimate_Guidelines,VLOOKUP($H44,FormFactorGuidelines,3,FALSE),FALSE), "")) - $Y44</f>
        <v>6.9</v>
      </c>
      <c r="L44" s="12">
        <f>(IF(OR($G44="Backend"), VLOOKUP($F44,Effort_Estimate_Guidelines,2,FALSE), "")) - $Z44</f>
        <v>0</v>
      </c>
      <c r="M44" s="14"/>
      <c r="N44" s="12">
        <f>(IF(AND($G44="Frontend",OR($H44="Mobile Hybrid", $H44="Responsive")), VLOOKUP($F44,Effort_Estimate_Guidelines,VLOOKUP($H44,FormFactorGuidelines,3,FALSE),FALSE), "")) - $AA44</f>
        <v>6.9</v>
      </c>
      <c r="O44" s="14"/>
      <c r="P44" s="12"/>
      <c r="Q44" s="14"/>
      <c r="R44" s="14"/>
      <c r="S44" s="14"/>
      <c r="T44" s="12">
        <f t="shared" si="1"/>
        <v>1.38</v>
      </c>
      <c r="U44" s="12">
        <f>(IF(AND($G44="Frontend",OR($H44="Responsive", $H44="Web")), VLOOKUP($F44,Effort_Estimate_Guidelines,VLOOKUP($H44,FormFactorGuidelines,4,FALSE),FALSE), "")) - $AB44</f>
        <v>6</v>
      </c>
      <c r="V44" s="12">
        <f t="shared" si="2"/>
        <v>21.18</v>
      </c>
      <c r="W44" s="15"/>
      <c r="X44" s="12"/>
      <c r="Y44" s="13">
        <v>12.0</v>
      </c>
      <c r="Z44" s="12"/>
      <c r="AA44" s="13">
        <v>12.0</v>
      </c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</row>
    <row r="45">
      <c r="A45" s="5"/>
      <c r="B45" s="6" t="s">
        <v>91</v>
      </c>
      <c r="C45" s="6" t="s">
        <v>91</v>
      </c>
      <c r="D45" s="6" t="s">
        <v>93</v>
      </c>
      <c r="E45" s="7">
        <v>3.0</v>
      </c>
      <c r="F45" s="8" t="s">
        <v>30</v>
      </c>
      <c r="G45" s="9" t="s">
        <v>31</v>
      </c>
      <c r="H45" s="10" t="s">
        <v>32</v>
      </c>
      <c r="I45" s="11" t="s">
        <v>35</v>
      </c>
      <c r="J45" s="12"/>
      <c r="K45" s="12">
        <f>(IF(AND($G45="Frontend",OR($H45="Responsive", $H45="Web")), VLOOKUP($F45,Effort_Estimate_Guidelines,VLOOKUP($H45,FormFactorGuidelines,3,FALSE),FALSE), "")) - $Y45</f>
        <v>6.9</v>
      </c>
      <c r="L45" s="12">
        <f>(IF(OR($G45="Backend"), VLOOKUP($F45,Effort_Estimate_Guidelines,2,FALSE), "")) - $Z45</f>
        <v>0</v>
      </c>
      <c r="M45" s="14"/>
      <c r="N45" s="12">
        <f>(IF(AND($G45="Frontend",OR($H45="Mobile Hybrid", $H45="Responsive")), VLOOKUP($F45,Effort_Estimate_Guidelines,VLOOKUP($H45,FormFactorGuidelines,3,FALSE),FALSE), "")) - $AA45</f>
        <v>6.9</v>
      </c>
      <c r="O45" s="14"/>
      <c r="P45" s="12"/>
      <c r="Q45" s="14"/>
      <c r="R45" s="14"/>
      <c r="S45" s="14"/>
      <c r="T45" s="12">
        <f t="shared" si="1"/>
        <v>1.38</v>
      </c>
      <c r="U45" s="12">
        <f>(IF(AND($G45="Frontend",OR($H45="Responsive", $H45="Web")), VLOOKUP($F45,Effort_Estimate_Guidelines,VLOOKUP($H45,FormFactorGuidelines,4,FALSE),FALSE), "")) - $AB45</f>
        <v>6</v>
      </c>
      <c r="V45" s="12">
        <f t="shared" si="2"/>
        <v>21.18</v>
      </c>
      <c r="W45" s="15"/>
      <c r="X45" s="12"/>
      <c r="Y45" s="13">
        <v>12.0</v>
      </c>
      <c r="Z45" s="12"/>
      <c r="AA45" s="13">
        <v>12.0</v>
      </c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</row>
    <row r="46">
      <c r="A46" s="5"/>
      <c r="B46" s="6" t="s">
        <v>91</v>
      </c>
      <c r="C46" s="6" t="s">
        <v>91</v>
      </c>
      <c r="D46" s="6" t="s">
        <v>94</v>
      </c>
      <c r="E46" s="7">
        <v>3.0</v>
      </c>
      <c r="F46" s="8" t="s">
        <v>30</v>
      </c>
      <c r="G46" s="9" t="s">
        <v>31</v>
      </c>
      <c r="H46" s="10" t="s">
        <v>32</v>
      </c>
      <c r="I46" s="11" t="s">
        <v>35</v>
      </c>
      <c r="J46" s="12"/>
      <c r="K46" s="12">
        <f>(IF(AND($G46="Frontend",OR($H46="Responsive", $H46="Web")), VLOOKUP($F46,Effort_Estimate_Guidelines,VLOOKUP($H46,FormFactorGuidelines,3,FALSE),FALSE), "")) - $Y46</f>
        <v>6.9</v>
      </c>
      <c r="L46" s="12">
        <f>(IF(OR($G46="Backend"), VLOOKUP($F46,Effort_Estimate_Guidelines,2,FALSE), "")) - $Z46</f>
        <v>0</v>
      </c>
      <c r="M46" s="14"/>
      <c r="N46" s="12">
        <f>(IF(AND($G46="Frontend",OR($H46="Mobile Hybrid", $H46="Responsive")), VLOOKUP($F46,Effort_Estimate_Guidelines,VLOOKUP($H46,FormFactorGuidelines,3,FALSE),FALSE), "")) - $AA46</f>
        <v>6.9</v>
      </c>
      <c r="O46" s="14"/>
      <c r="P46" s="12"/>
      <c r="Q46" s="14"/>
      <c r="R46" s="14"/>
      <c r="S46" s="14"/>
      <c r="T46" s="12">
        <f t="shared" si="1"/>
        <v>1.38</v>
      </c>
      <c r="U46" s="12">
        <f>(IF(AND($G46="Frontend",OR($H46="Responsive", $H46="Web")), VLOOKUP($F46,Effort_Estimate_Guidelines,VLOOKUP($H46,FormFactorGuidelines,4,FALSE),FALSE), "")) - $AB46</f>
        <v>6</v>
      </c>
      <c r="V46" s="12">
        <f t="shared" si="2"/>
        <v>21.18</v>
      </c>
      <c r="W46" s="15"/>
      <c r="X46" s="12"/>
      <c r="Y46" s="13">
        <v>12.0</v>
      </c>
      <c r="Z46" s="12"/>
      <c r="AA46" s="13">
        <v>12.0</v>
      </c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</row>
    <row r="47">
      <c r="A47" s="5"/>
      <c r="B47" s="6" t="s">
        <v>95</v>
      </c>
      <c r="C47" s="6" t="s">
        <v>95</v>
      </c>
      <c r="D47" s="6" t="s">
        <v>96</v>
      </c>
      <c r="E47" s="7">
        <v>3.0</v>
      </c>
      <c r="F47" s="8" t="s">
        <v>30</v>
      </c>
      <c r="G47" s="9" t="s">
        <v>31</v>
      </c>
      <c r="H47" s="10" t="s">
        <v>32</v>
      </c>
      <c r="I47" s="11" t="s">
        <v>35</v>
      </c>
      <c r="J47" s="12"/>
      <c r="K47" s="12">
        <f>(IF(AND($G47="Frontend",OR($H47="Responsive", $H47="Web")), VLOOKUP($F47,Effort_Estimate_Guidelines,VLOOKUP($H47,FormFactorGuidelines,3,FALSE),FALSE), "")) - $Y47</f>
        <v>18.9</v>
      </c>
      <c r="L47" s="12">
        <f>(IF(OR($G47="Backend"), VLOOKUP($F47,Effort_Estimate_Guidelines,2,FALSE), "")) - $Z47</f>
        <v>0</v>
      </c>
      <c r="M47" s="14"/>
      <c r="N47" s="12">
        <f>(IF(AND($G47="Frontend",OR($H47="Mobile Hybrid", $H47="Responsive")), VLOOKUP($F47,Effort_Estimate_Guidelines,VLOOKUP($H47,FormFactorGuidelines,3,FALSE),FALSE), "")) - $AA47</f>
        <v>18.9</v>
      </c>
      <c r="O47" s="14"/>
      <c r="P47" s="12"/>
      <c r="Q47" s="14"/>
      <c r="R47" s="14"/>
      <c r="S47" s="14"/>
      <c r="T47" s="12">
        <f t="shared" si="1"/>
        <v>3.78</v>
      </c>
      <c r="U47" s="12">
        <f>(IF(AND($G47="Frontend",OR($H47="Responsive", $H47="Web")), VLOOKUP($F47,Effort_Estimate_Guidelines,VLOOKUP($H47,FormFactorGuidelines,4,FALSE),FALSE), "")) - $AB47</f>
        <v>6</v>
      </c>
      <c r="V47" s="12">
        <f t="shared" si="2"/>
        <v>47.58</v>
      </c>
      <c r="W47" s="15"/>
      <c r="X47" s="12"/>
      <c r="Y47" s="12"/>
      <c r="Z47" s="12"/>
      <c r="AA47" s="12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</row>
    <row r="48">
      <c r="A48" s="5"/>
      <c r="B48" s="6" t="s">
        <v>95</v>
      </c>
      <c r="C48" s="6" t="s">
        <v>95</v>
      </c>
      <c r="D48" s="6" t="s">
        <v>97</v>
      </c>
      <c r="E48" s="7">
        <v>3.0</v>
      </c>
      <c r="F48" s="8" t="s">
        <v>98</v>
      </c>
      <c r="G48" s="9" t="s">
        <v>31</v>
      </c>
      <c r="H48" s="10" t="s">
        <v>32</v>
      </c>
      <c r="I48" s="11" t="s">
        <v>35</v>
      </c>
      <c r="J48" s="12"/>
      <c r="K48" s="12">
        <f>(IF(AND($G48="Frontend",OR($H48="Responsive", $H48="Web")), VLOOKUP($F48,Effort_Estimate_Guidelines,VLOOKUP($H48,FormFactorGuidelines,3,FALSE),FALSE), "")) - $Y48</f>
        <v>40.95</v>
      </c>
      <c r="L48" s="12">
        <f>(IF(OR($G48="Backend"), VLOOKUP($F48,Effort_Estimate_Guidelines,2,FALSE), "")) - $Z48</f>
        <v>0</v>
      </c>
      <c r="M48" s="14"/>
      <c r="N48" s="12">
        <f>(IF(AND($G48="Frontend",OR($H48="Mobile Hybrid", $H48="Responsive")), VLOOKUP($F48,Effort_Estimate_Guidelines,VLOOKUP($H48,FormFactorGuidelines,3,FALSE),FALSE), "")) - $AA48</f>
        <v>40.95</v>
      </c>
      <c r="O48" s="14"/>
      <c r="P48" s="12"/>
      <c r="Q48" s="14"/>
      <c r="R48" s="14"/>
      <c r="S48" s="14"/>
      <c r="T48" s="12">
        <f t="shared" si="1"/>
        <v>8.19</v>
      </c>
      <c r="U48" s="12">
        <f>(IF(AND($G48="Frontend",OR($H48="Responsive", $H48="Web")), VLOOKUP($F48,Effort_Estimate_Guidelines,VLOOKUP($H48,FormFactorGuidelines,4,FALSE),FALSE), "")) - $AB48</f>
        <v>12</v>
      </c>
      <c r="V48" s="12">
        <f t="shared" si="2"/>
        <v>102.09</v>
      </c>
      <c r="W48" s="15"/>
      <c r="X48" s="12"/>
      <c r="Y48" s="12"/>
      <c r="Z48" s="12"/>
      <c r="AA48" s="12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</row>
    <row r="49">
      <c r="A49" s="5"/>
      <c r="B49" s="6" t="s">
        <v>99</v>
      </c>
      <c r="C49" s="6" t="s">
        <v>99</v>
      </c>
      <c r="D49" s="6" t="s">
        <v>100</v>
      </c>
      <c r="E49" s="7">
        <v>3.0</v>
      </c>
      <c r="F49" s="8" t="s">
        <v>30</v>
      </c>
      <c r="G49" s="9" t="s">
        <v>31</v>
      </c>
      <c r="H49" s="10" t="s">
        <v>32</v>
      </c>
      <c r="I49" s="11" t="s">
        <v>35</v>
      </c>
      <c r="J49" s="12"/>
      <c r="K49" s="12">
        <f>(IF(AND($G49="Frontend",OR($H49="Responsive", $H49="Web")), VLOOKUP($F49,Effort_Estimate_Guidelines,VLOOKUP($H49,FormFactorGuidelines,3,FALSE),FALSE), "")) - $Y49</f>
        <v>18.9</v>
      </c>
      <c r="L49" s="12">
        <f>(IF(OR($G49="Backend"), VLOOKUP($F49,Effort_Estimate_Guidelines,2,FALSE), "")) - $Z49</f>
        <v>0</v>
      </c>
      <c r="M49" s="14"/>
      <c r="N49" s="12">
        <f>(IF(AND($G49="Frontend",OR($H49="Mobile Hybrid", $H49="Responsive")), VLOOKUP($F49,Effort_Estimate_Guidelines,VLOOKUP($H49,FormFactorGuidelines,3,FALSE),FALSE), "")) - $AA49</f>
        <v>18.9</v>
      </c>
      <c r="O49" s="14"/>
      <c r="P49" s="12"/>
      <c r="Q49" s="14"/>
      <c r="R49" s="14"/>
      <c r="S49" s="14"/>
      <c r="T49" s="12">
        <f t="shared" si="1"/>
        <v>3.78</v>
      </c>
      <c r="U49" s="12">
        <f>(IF(AND($G49="Frontend",OR($H49="Responsive", $H49="Web")), VLOOKUP($F49,Effort_Estimate_Guidelines,VLOOKUP($H49,FormFactorGuidelines,4,FALSE),FALSE), "")) - $AB49</f>
        <v>6</v>
      </c>
      <c r="V49" s="12">
        <f t="shared" si="2"/>
        <v>47.58</v>
      </c>
      <c r="W49" s="15"/>
      <c r="X49" s="12"/>
      <c r="Y49" s="12"/>
      <c r="Z49" s="12"/>
      <c r="AA49" s="12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</row>
    <row r="50">
      <c r="A50" s="5"/>
      <c r="B50" s="6" t="s">
        <v>99</v>
      </c>
      <c r="C50" s="6" t="s">
        <v>99</v>
      </c>
      <c r="D50" s="6" t="s">
        <v>101</v>
      </c>
      <c r="E50" s="7">
        <v>3.0</v>
      </c>
      <c r="F50" s="8" t="s">
        <v>30</v>
      </c>
      <c r="G50" s="9" t="s">
        <v>31</v>
      </c>
      <c r="H50" s="10" t="s">
        <v>32</v>
      </c>
      <c r="I50" s="11" t="s">
        <v>33</v>
      </c>
      <c r="J50" s="12"/>
      <c r="K50" s="12">
        <f>(IF(AND($G50="Frontend",OR($H50="Responsive", $H50="Web")), VLOOKUP($F50,Effort_Estimate_Guidelines,VLOOKUP($H50,FormFactorGuidelines,3,FALSE),FALSE), "")) - $Y50</f>
        <v>18.9</v>
      </c>
      <c r="L50" s="12">
        <f>(IF(OR($G50="Backend"), VLOOKUP($F50,Effort_Estimate_Guidelines,2,FALSE), "")) - $Z50</f>
        <v>0</v>
      </c>
      <c r="M50" s="14"/>
      <c r="N50" s="12">
        <f>(IF(AND($G50="Frontend",OR($H50="Mobile Hybrid", $H50="Responsive")), VLOOKUP($F50,Effort_Estimate_Guidelines,VLOOKUP($H50,FormFactorGuidelines,3,FALSE),FALSE), "")) - $AA50</f>
        <v>18.9</v>
      </c>
      <c r="O50" s="14"/>
      <c r="P50" s="12"/>
      <c r="Q50" s="14"/>
      <c r="R50" s="14"/>
      <c r="S50" s="14"/>
      <c r="T50" s="12">
        <f t="shared" si="1"/>
        <v>3.78</v>
      </c>
      <c r="U50" s="12">
        <f>(IF(AND($G50="Frontend",OR($H50="Responsive", $H50="Web")), VLOOKUP($F50,Effort_Estimate_Guidelines,VLOOKUP($H50,FormFactorGuidelines,4,FALSE),FALSE), "")) - $AB50</f>
        <v>6</v>
      </c>
      <c r="V50" s="12">
        <f t="shared" si="2"/>
        <v>47.58</v>
      </c>
      <c r="W50" s="15"/>
      <c r="X50" s="12"/>
      <c r="Y50" s="12"/>
      <c r="Z50" s="12"/>
      <c r="AA50" s="12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</row>
    <row r="51">
      <c r="A51" s="5"/>
      <c r="B51" s="38" t="s">
        <v>102</v>
      </c>
      <c r="C51" s="38" t="s">
        <v>102</v>
      </c>
      <c r="D51" s="38" t="s">
        <v>103</v>
      </c>
      <c r="E51" s="7">
        <v>3.0</v>
      </c>
      <c r="F51" s="8" t="s">
        <v>30</v>
      </c>
      <c r="G51" s="9" t="s">
        <v>31</v>
      </c>
      <c r="H51" s="10" t="s">
        <v>32</v>
      </c>
      <c r="I51" s="11" t="s">
        <v>35</v>
      </c>
      <c r="J51" s="12"/>
      <c r="K51" s="12">
        <f>(IF(AND($G51="Frontend",OR($H51="Responsive", $H51="Web")), VLOOKUP($F51,Effort_Estimate_Guidelines,VLOOKUP($H51,FormFactorGuidelines,3,FALSE),FALSE), "")) - $Y51</f>
        <v>18.9</v>
      </c>
      <c r="L51" s="12">
        <f>(IF(OR($G51="Backend"), VLOOKUP($F51,Effort_Estimate_Guidelines,2,FALSE), "")) - $Z51</f>
        <v>0</v>
      </c>
      <c r="M51" s="14"/>
      <c r="N51" s="12">
        <f>(IF(AND($G51="Frontend",OR($H51="Mobile Hybrid", $H51="Responsive")), VLOOKUP($F51,Effort_Estimate_Guidelines,VLOOKUP($H51,FormFactorGuidelines,3,FALSE),FALSE), "")) - $AA51</f>
        <v>18.9</v>
      </c>
      <c r="O51" s="14"/>
      <c r="P51" s="12"/>
      <c r="Q51" s="14"/>
      <c r="R51" s="14"/>
      <c r="S51" s="14"/>
      <c r="T51" s="12">
        <f t="shared" si="1"/>
        <v>3.78</v>
      </c>
      <c r="U51" s="12">
        <f>(IF(AND($G51="Frontend",OR($H51="Responsive", $H51="Web")), VLOOKUP($F51,Effort_Estimate_Guidelines,VLOOKUP($H51,FormFactorGuidelines,4,FALSE),FALSE), "")) - $AB51</f>
        <v>6</v>
      </c>
      <c r="V51" s="12">
        <f t="shared" si="2"/>
        <v>47.58</v>
      </c>
      <c r="W51" s="15"/>
      <c r="X51" s="12"/>
      <c r="Y51" s="12"/>
      <c r="Z51" s="12"/>
      <c r="AA51" s="12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</row>
    <row r="52">
      <c r="A52" s="5"/>
      <c r="B52" s="38" t="s">
        <v>102</v>
      </c>
      <c r="C52" s="38" t="s">
        <v>102</v>
      </c>
      <c r="D52" s="38" t="s">
        <v>104</v>
      </c>
      <c r="E52" s="7">
        <v>3.0</v>
      </c>
      <c r="F52" s="8" t="s">
        <v>30</v>
      </c>
      <c r="G52" s="9" t="s">
        <v>31</v>
      </c>
      <c r="H52" s="10" t="s">
        <v>32</v>
      </c>
      <c r="I52" s="11" t="s">
        <v>35</v>
      </c>
      <c r="J52" s="12"/>
      <c r="K52" s="12">
        <f>(IF(AND($G52="Frontend",OR($H52="Responsive", $H52="Web")), VLOOKUP($F52,Effort_Estimate_Guidelines,VLOOKUP($H52,FormFactorGuidelines,3,FALSE),FALSE), "")) - $Y52</f>
        <v>18.9</v>
      </c>
      <c r="L52" s="12">
        <f>(IF(OR($G52="Backend"), VLOOKUP($F52,Effort_Estimate_Guidelines,2,FALSE), "")) - $Z52</f>
        <v>0</v>
      </c>
      <c r="M52" s="14"/>
      <c r="N52" s="12">
        <f>(IF(AND($G52="Frontend",OR($H52="Mobile Hybrid", $H52="Responsive")), VLOOKUP($F52,Effort_Estimate_Guidelines,VLOOKUP($H52,FormFactorGuidelines,3,FALSE),FALSE), "")) - $AA52</f>
        <v>18.9</v>
      </c>
      <c r="O52" s="14"/>
      <c r="P52" s="12"/>
      <c r="Q52" s="14"/>
      <c r="R52" s="14"/>
      <c r="S52" s="14"/>
      <c r="T52" s="12">
        <f t="shared" si="1"/>
        <v>3.78</v>
      </c>
      <c r="U52" s="12">
        <f>(IF(AND($G52="Frontend",OR($H52="Responsive", $H52="Web")), VLOOKUP($F52,Effort_Estimate_Guidelines,VLOOKUP($H52,FormFactorGuidelines,4,FALSE),FALSE), "")) - $AB52</f>
        <v>6</v>
      </c>
      <c r="V52" s="12">
        <f t="shared" si="2"/>
        <v>47.58</v>
      </c>
      <c r="W52" s="15"/>
      <c r="X52" s="12"/>
      <c r="Y52" s="12"/>
      <c r="Z52" s="12"/>
      <c r="AA52" s="12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</row>
    <row r="53">
      <c r="A53" s="5"/>
      <c r="B53" s="38" t="s">
        <v>105</v>
      </c>
      <c r="C53" s="38" t="s">
        <v>105</v>
      </c>
      <c r="D53" s="6" t="s">
        <v>106</v>
      </c>
      <c r="E53" s="7">
        <v>3.0</v>
      </c>
      <c r="F53" s="8" t="s">
        <v>98</v>
      </c>
      <c r="G53" s="9" t="s">
        <v>31</v>
      </c>
      <c r="H53" s="10" t="s">
        <v>32</v>
      </c>
      <c r="I53" s="11" t="s">
        <v>38</v>
      </c>
      <c r="J53" s="12"/>
      <c r="K53" s="12">
        <f>(IF(AND($G53="Frontend",OR($H53="Responsive", $H53="Web")), VLOOKUP($F53,Effort_Estimate_Guidelines,VLOOKUP($H53,FormFactorGuidelines,3,FALSE),FALSE), "")) - $Y53</f>
        <v>40.95</v>
      </c>
      <c r="L53" s="12">
        <f>(IF(OR($G53="Backend"), VLOOKUP($F53,Effort_Estimate_Guidelines,2,FALSE), "")) - $Z53</f>
        <v>0</v>
      </c>
      <c r="M53" s="14"/>
      <c r="N53" s="12">
        <f>(IF(AND($G53="Frontend",OR($H53="Mobile Hybrid", $H53="Responsive")), VLOOKUP($F53,Effort_Estimate_Guidelines,VLOOKUP($H53,FormFactorGuidelines,3,FALSE),FALSE), "")) - $AA53</f>
        <v>40.95</v>
      </c>
      <c r="O53" s="14"/>
      <c r="P53" s="12"/>
      <c r="Q53" s="14"/>
      <c r="R53" s="14"/>
      <c r="S53" s="14"/>
      <c r="T53" s="12">
        <f t="shared" si="1"/>
        <v>8.19</v>
      </c>
      <c r="U53" s="12">
        <f>(IF(AND($G53="Frontend",OR($H53="Responsive", $H53="Web")), VLOOKUP($F53,Effort_Estimate_Guidelines,VLOOKUP($H53,FormFactorGuidelines,4,FALSE),FALSE), "")) - $AB53</f>
        <v>12</v>
      </c>
      <c r="V53" s="12">
        <f t="shared" si="2"/>
        <v>102.09</v>
      </c>
      <c r="W53" s="15"/>
      <c r="X53" s="12"/>
      <c r="Y53" s="12"/>
      <c r="Z53" s="12"/>
      <c r="AA53" s="12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</row>
    <row r="54">
      <c r="A54" s="5"/>
      <c r="B54" s="38" t="s">
        <v>105</v>
      </c>
      <c r="C54" s="38" t="s">
        <v>105</v>
      </c>
      <c r="D54" s="38" t="s">
        <v>107</v>
      </c>
      <c r="E54" s="7">
        <v>3.0</v>
      </c>
      <c r="F54" s="8" t="s">
        <v>30</v>
      </c>
      <c r="G54" s="9" t="s">
        <v>31</v>
      </c>
      <c r="H54" s="10" t="s">
        <v>32</v>
      </c>
      <c r="I54" s="11" t="s">
        <v>38</v>
      </c>
      <c r="J54" s="12"/>
      <c r="K54" s="12">
        <f>(IF(AND($G54="Frontend",OR($H54="Responsive", $H54="Web")), VLOOKUP($F54,Effort_Estimate_Guidelines,VLOOKUP($H54,FormFactorGuidelines,3,FALSE),FALSE), "")) - $Y54</f>
        <v>18.9</v>
      </c>
      <c r="L54" s="12">
        <f>(IF(OR($G54="Backend"), VLOOKUP($F54,Effort_Estimate_Guidelines,2,FALSE), "")) - $Z54</f>
        <v>0</v>
      </c>
      <c r="M54" s="14"/>
      <c r="N54" s="12">
        <f>(IF(AND($G54="Frontend",OR($H54="Mobile Hybrid", $H54="Responsive")), VLOOKUP($F54,Effort_Estimate_Guidelines,VLOOKUP($H54,FormFactorGuidelines,3,FALSE),FALSE), "")) - $AA54</f>
        <v>18.9</v>
      </c>
      <c r="O54" s="14"/>
      <c r="P54" s="12"/>
      <c r="Q54" s="14"/>
      <c r="R54" s="14"/>
      <c r="S54" s="14"/>
      <c r="T54" s="12">
        <f t="shared" si="1"/>
        <v>3.78</v>
      </c>
      <c r="U54" s="12">
        <f>(IF(AND($G54="Frontend",OR($H54="Responsive", $H54="Web")), VLOOKUP($F54,Effort_Estimate_Guidelines,VLOOKUP($H54,FormFactorGuidelines,4,FALSE),FALSE), "")) - $AB54</f>
        <v>6</v>
      </c>
      <c r="V54" s="12">
        <f t="shared" si="2"/>
        <v>47.58</v>
      </c>
      <c r="W54" s="15"/>
      <c r="X54" s="12"/>
      <c r="Y54" s="12"/>
      <c r="Z54" s="12"/>
      <c r="AA54" s="12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</row>
    <row r="55">
      <c r="A55" s="5"/>
      <c r="B55" s="6" t="s">
        <v>108</v>
      </c>
      <c r="C55" s="6" t="s">
        <v>108</v>
      </c>
      <c r="D55" s="6" t="s">
        <v>109</v>
      </c>
      <c r="E55" s="7">
        <v>3.0</v>
      </c>
      <c r="F55" s="8" t="s">
        <v>30</v>
      </c>
      <c r="G55" s="9" t="s">
        <v>31</v>
      </c>
      <c r="H55" s="10" t="s">
        <v>32</v>
      </c>
      <c r="I55" s="11" t="s">
        <v>35</v>
      </c>
      <c r="J55" s="12"/>
      <c r="K55" s="12">
        <f>(IF(AND($G55="Frontend",OR($H55="Responsive", $H55="Web")), VLOOKUP($F55,Effort_Estimate_Guidelines,VLOOKUP($H55,FormFactorGuidelines,3,FALSE),FALSE), "")) - $Y55</f>
        <v>18.9</v>
      </c>
      <c r="L55" s="12">
        <f>(IF(OR($G55="Backend"), VLOOKUP($F55,Effort_Estimate_Guidelines,2,FALSE), "")) - $Z55</f>
        <v>0</v>
      </c>
      <c r="M55" s="17">
        <v>40.0</v>
      </c>
      <c r="N55" s="12">
        <f>(IF(AND($G55="Frontend",OR($H55="Mobile Hybrid", $H55="Responsive")), VLOOKUP($F55,Effort_Estimate_Guidelines,VLOOKUP($H55,FormFactorGuidelines,3,FALSE),FALSE), "")) - $AA55</f>
        <v>18.9</v>
      </c>
      <c r="O55" s="14"/>
      <c r="P55" s="12"/>
      <c r="Q55" s="14"/>
      <c r="R55" s="14"/>
      <c r="S55" s="14"/>
      <c r="T55" s="12">
        <f t="shared" si="1"/>
        <v>3.78</v>
      </c>
      <c r="U55" s="12">
        <f>(IF(AND($G55="Frontend",OR($H55="Responsive", $H55="Web")), VLOOKUP($F55,Effort_Estimate_Guidelines,VLOOKUP($H55,FormFactorGuidelines,4,FALSE),FALSE), "")) - $AB55</f>
        <v>6</v>
      </c>
      <c r="V55" s="12">
        <f t="shared" si="2"/>
        <v>87.58</v>
      </c>
      <c r="W55" s="15"/>
      <c r="X55" s="12"/>
      <c r="Y55" s="12"/>
      <c r="Z55" s="12"/>
      <c r="AA55" s="12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</row>
    <row r="56">
      <c r="A56" s="5"/>
      <c r="B56" s="6" t="s">
        <v>108</v>
      </c>
      <c r="C56" s="6" t="s">
        <v>108</v>
      </c>
      <c r="D56" s="38" t="s">
        <v>110</v>
      </c>
      <c r="E56" s="7">
        <v>3.0</v>
      </c>
      <c r="F56" s="8" t="s">
        <v>30</v>
      </c>
      <c r="G56" s="9" t="s">
        <v>31</v>
      </c>
      <c r="H56" s="10" t="s">
        <v>32</v>
      </c>
      <c r="I56" s="11" t="s">
        <v>35</v>
      </c>
      <c r="J56" s="12"/>
      <c r="K56" s="12">
        <f>(IF(AND($G56="Frontend",OR($H56="Responsive", $H56="Web")), VLOOKUP($F56,Effort_Estimate_Guidelines,VLOOKUP($H56,FormFactorGuidelines,3,FALSE),FALSE), "")) - $Y56</f>
        <v>18.9</v>
      </c>
      <c r="L56" s="12">
        <f>(IF(OR($G56="Backend"), VLOOKUP($F56,Effort_Estimate_Guidelines,2,FALSE), "")) - $Z56</f>
        <v>0</v>
      </c>
      <c r="M56" s="14"/>
      <c r="N56" s="12">
        <f>(IF(AND($G56="Frontend",OR($H56="Mobile Hybrid", $H56="Responsive")), VLOOKUP($F56,Effort_Estimate_Guidelines,VLOOKUP($H56,FormFactorGuidelines,3,FALSE),FALSE), "")) - $AA56</f>
        <v>18.9</v>
      </c>
      <c r="O56" s="14"/>
      <c r="P56" s="12"/>
      <c r="Q56" s="14"/>
      <c r="R56" s="14"/>
      <c r="S56" s="14"/>
      <c r="T56" s="12">
        <f t="shared" si="1"/>
        <v>3.78</v>
      </c>
      <c r="U56" s="12">
        <f>(IF(AND($G56="Frontend",OR($H56="Responsive", $H56="Web")), VLOOKUP($F56,Effort_Estimate_Guidelines,VLOOKUP($H56,FormFactorGuidelines,4,FALSE),FALSE), "")) - $AB56</f>
        <v>6</v>
      </c>
      <c r="V56" s="12">
        <f t="shared" si="2"/>
        <v>47.58</v>
      </c>
      <c r="W56" s="15"/>
      <c r="X56" s="12"/>
      <c r="Y56" s="12"/>
      <c r="Z56" s="12"/>
      <c r="AA56" s="12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</row>
    <row r="57">
      <c r="A57" s="33">
        <v>101.0</v>
      </c>
      <c r="B57" s="6" t="s">
        <v>111</v>
      </c>
      <c r="C57" s="6" t="s">
        <v>111</v>
      </c>
      <c r="D57" s="38" t="s">
        <v>112</v>
      </c>
      <c r="E57" s="7">
        <v>3.0</v>
      </c>
      <c r="F57" s="8" t="s">
        <v>30</v>
      </c>
      <c r="G57" s="9" t="s">
        <v>31</v>
      </c>
      <c r="H57" s="10" t="s">
        <v>32</v>
      </c>
      <c r="I57" s="11" t="s">
        <v>33</v>
      </c>
      <c r="J57" s="12"/>
      <c r="K57" s="12">
        <f>(IF(AND($G57="Frontend",OR($H57="Responsive", $H57="Web")), VLOOKUP($F57,Effort_Estimate_Guidelines,VLOOKUP($H57,FormFactorGuidelines,3,FALSE),FALSE), "")) - $Y57</f>
        <v>18.9</v>
      </c>
      <c r="L57" s="12">
        <f>(IF(OR($G57="Backend"), VLOOKUP($F57,Effort_Estimate_Guidelines,2,FALSE), "")) - $Z57</f>
        <v>0</v>
      </c>
      <c r="M57" s="14"/>
      <c r="N57" s="12">
        <f>(IF(AND($G57="Frontend",OR($H57="Mobile Hybrid", $H57="Responsive")), VLOOKUP($F57,Effort_Estimate_Guidelines,VLOOKUP($H57,FormFactorGuidelines,3,FALSE),FALSE), "")) - $AA57</f>
        <v>18.9</v>
      </c>
      <c r="O57" s="14"/>
      <c r="P57" s="12"/>
      <c r="Q57" s="14"/>
      <c r="R57" s="14"/>
      <c r="S57" s="14"/>
      <c r="T57" s="12">
        <f t="shared" si="1"/>
        <v>3.78</v>
      </c>
      <c r="U57" s="12">
        <f>(IF(AND($G57="Frontend",OR($H57="Responsive", $H57="Web")), VLOOKUP($F57,Effort_Estimate_Guidelines,VLOOKUP($H57,FormFactorGuidelines,4,FALSE),FALSE), "")) - $AB57</f>
        <v>6</v>
      </c>
      <c r="V57" s="12">
        <f t="shared" si="2"/>
        <v>47.58</v>
      </c>
      <c r="W57" s="15"/>
      <c r="X57" s="12"/>
      <c r="Y57" s="12"/>
      <c r="Z57" s="12"/>
      <c r="AA57" s="12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</row>
    <row r="58">
      <c r="A58" s="5"/>
      <c r="B58" s="6" t="s">
        <v>113</v>
      </c>
      <c r="C58" s="6" t="s">
        <v>113</v>
      </c>
      <c r="D58" s="39" t="s">
        <v>114</v>
      </c>
      <c r="E58" s="7">
        <v>3.0</v>
      </c>
      <c r="F58" s="8" t="s">
        <v>30</v>
      </c>
      <c r="G58" s="9" t="s">
        <v>31</v>
      </c>
      <c r="H58" s="10" t="s">
        <v>32</v>
      </c>
      <c r="I58" s="11" t="s">
        <v>35</v>
      </c>
      <c r="J58" s="12"/>
      <c r="K58" s="12">
        <f>(IF(AND($G58="Frontend",OR($H58="Responsive", $H58="Web")), VLOOKUP($F58,Effort_Estimate_Guidelines,VLOOKUP($H58,FormFactorGuidelines,3,FALSE),FALSE), "")) - $Y58</f>
        <v>2.9</v>
      </c>
      <c r="L58" s="12">
        <f>(IF(OR($G58="Backend"), VLOOKUP($F58,Effort_Estimate_Guidelines,2,FALSE), "")) - $Z58</f>
        <v>0</v>
      </c>
      <c r="M58" s="14"/>
      <c r="N58" s="12">
        <f>(IF(AND($G58="Frontend",OR($H58="Mobile Hybrid", $H58="Responsive")), VLOOKUP($F58,Effort_Estimate_Guidelines,VLOOKUP($H58,FormFactorGuidelines,3,FALSE),FALSE), "")) - $AA58</f>
        <v>2.9</v>
      </c>
      <c r="O58" s="14"/>
      <c r="P58" s="12"/>
      <c r="Q58" s="14"/>
      <c r="R58" s="14"/>
      <c r="S58" s="14"/>
      <c r="T58" s="12">
        <f t="shared" si="1"/>
        <v>0.58</v>
      </c>
      <c r="U58" s="12">
        <f>(IF(AND($G58="Frontend",OR($H58="Responsive", $H58="Web")), VLOOKUP($F58,Effort_Estimate_Guidelines,VLOOKUP($H58,FormFactorGuidelines,4,FALSE),FALSE), "")) - $AB58</f>
        <v>6</v>
      </c>
      <c r="V58" s="12">
        <f t="shared" si="2"/>
        <v>12.38</v>
      </c>
      <c r="W58" s="15"/>
      <c r="X58" s="12"/>
      <c r="Y58" s="13">
        <v>16.0</v>
      </c>
      <c r="Z58" s="12"/>
      <c r="AA58" s="13">
        <v>16.0</v>
      </c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</row>
    <row r="59">
      <c r="A59" s="18"/>
      <c r="B59" s="19" t="s">
        <v>113</v>
      </c>
      <c r="C59" s="18" t="s">
        <v>115</v>
      </c>
      <c r="D59" s="40" t="s">
        <v>116</v>
      </c>
      <c r="E59" s="21">
        <v>3.0</v>
      </c>
      <c r="F59" s="27" t="s">
        <v>30</v>
      </c>
      <c r="G59" s="21" t="s">
        <v>31</v>
      </c>
      <c r="H59" s="23" t="s">
        <v>32</v>
      </c>
      <c r="I59" s="11" t="s">
        <v>35</v>
      </c>
      <c r="J59" s="24"/>
      <c r="K59" s="24">
        <f>(IF(AND($G59="Frontend",OR($H59="Responsive", $H59="Web")), VLOOKUP($F59,Effort_Estimate_Guidelines,VLOOKUP($H59,FormFactorGuidelines,3,FALSE),FALSE), "")) - $Y59</f>
        <v>2.9</v>
      </c>
      <c r="L59" s="24">
        <f>(IF(OR($G59="Backend"), VLOOKUP($F59,Effort_Estimate_Guidelines,2,FALSE), "")) - $Z59</f>
        <v>0</v>
      </c>
      <c r="M59" s="25"/>
      <c r="N59" s="12">
        <f>(IF(AND($G59="Frontend",OR($H59="Mobile Hybrid", $H59="Responsive")), VLOOKUP($F59,Effort_Estimate_Guidelines,VLOOKUP($H59,FormFactorGuidelines,3,FALSE),FALSE), "")) - $AA59</f>
        <v>2.9</v>
      </c>
      <c r="O59" s="25"/>
      <c r="P59" s="26"/>
      <c r="Q59" s="25"/>
      <c r="R59" s="25"/>
      <c r="S59" s="25"/>
      <c r="T59" s="24">
        <f t="shared" si="1"/>
        <v>0.58</v>
      </c>
      <c r="U59" s="24">
        <f>(IF(AND($G59="Frontend",OR($H59="Responsive", $H59="Web")), VLOOKUP($F59,Effort_Estimate_Guidelines,VLOOKUP($H59,FormFactorGuidelines,4,FALSE),FALSE), "")) - $AB59</f>
        <v>6</v>
      </c>
      <c r="V59" s="24">
        <f t="shared" si="2"/>
        <v>12.38</v>
      </c>
      <c r="W59" s="25"/>
      <c r="X59" s="26"/>
      <c r="Y59" s="13">
        <v>16.0</v>
      </c>
      <c r="Z59" s="26"/>
      <c r="AA59" s="13">
        <v>16.0</v>
      </c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</row>
    <row r="60">
      <c r="A60" s="5"/>
      <c r="B60" s="6" t="s">
        <v>113</v>
      </c>
      <c r="C60" s="16" t="s">
        <v>117</v>
      </c>
      <c r="D60" s="6" t="s">
        <v>118</v>
      </c>
      <c r="E60" s="7">
        <v>3.0</v>
      </c>
      <c r="F60" s="8" t="s">
        <v>30</v>
      </c>
      <c r="G60" s="9" t="s">
        <v>31</v>
      </c>
      <c r="H60" s="10" t="s">
        <v>32</v>
      </c>
      <c r="I60" s="11" t="s">
        <v>38</v>
      </c>
      <c r="J60" s="12"/>
      <c r="K60" s="12">
        <f>(IF(AND($G60="Frontend",OR($H60="Responsive", $H60="Web")), VLOOKUP($F60,Effort_Estimate_Guidelines,VLOOKUP($H60,FormFactorGuidelines,3,FALSE),FALSE), "")) - $Y60</f>
        <v>2.9</v>
      </c>
      <c r="L60" s="12">
        <f>(IF(OR($G60="Backend"), VLOOKUP($F60,Effort_Estimate_Guidelines,2,FALSE), "")) - $Z60</f>
        <v>0</v>
      </c>
      <c r="M60" s="14"/>
      <c r="N60" s="12">
        <f>(IF(AND($G60="Frontend",OR($H60="Mobile Hybrid", $H60="Responsive")), VLOOKUP($F60,Effort_Estimate_Guidelines,VLOOKUP($H60,FormFactorGuidelines,3,FALSE),FALSE), "")) - $AA60</f>
        <v>2.9</v>
      </c>
      <c r="O60" s="14"/>
      <c r="P60" s="12"/>
      <c r="Q60" s="14"/>
      <c r="R60" s="14"/>
      <c r="S60" s="14"/>
      <c r="T60" s="12">
        <f t="shared" si="1"/>
        <v>0.58</v>
      </c>
      <c r="U60" s="12">
        <f>(IF(AND($G60="Frontend",OR($H60="Responsive", $H60="Web")), VLOOKUP($F60,Effort_Estimate_Guidelines,VLOOKUP($H60,FormFactorGuidelines,4,FALSE),FALSE), "")) - $AB60</f>
        <v>6</v>
      </c>
      <c r="V60" s="12">
        <f t="shared" si="2"/>
        <v>12.38</v>
      </c>
      <c r="W60" s="15"/>
      <c r="X60" s="12"/>
      <c r="Y60" s="13">
        <v>16.0</v>
      </c>
      <c r="Z60" s="12"/>
      <c r="AA60" s="13">
        <v>16.0</v>
      </c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</row>
    <row r="61">
      <c r="A61" s="28"/>
      <c r="B61" s="29" t="s">
        <v>113</v>
      </c>
      <c r="C61" s="37" t="s">
        <v>117</v>
      </c>
      <c r="D61" s="30" t="s">
        <v>119</v>
      </c>
      <c r="E61" s="31">
        <v>3.0</v>
      </c>
      <c r="F61" s="35" t="s">
        <v>30</v>
      </c>
      <c r="G61" s="31" t="s">
        <v>31</v>
      </c>
      <c r="H61" s="32" t="s">
        <v>32</v>
      </c>
      <c r="I61" s="11" t="s">
        <v>38</v>
      </c>
      <c r="J61" s="24"/>
      <c r="K61" s="24">
        <f>(IF(AND($G61="Frontend",OR($H61="Responsive", $H61="Web")), VLOOKUP($F61,Effort_Estimate_Guidelines,VLOOKUP($H61,FormFactorGuidelines,3,FALSE),FALSE), "")) - $Y61</f>
        <v>2.9</v>
      </c>
      <c r="L61" s="24">
        <f>(IF(OR($G61="Backend"), VLOOKUP($F61,Effort_Estimate_Guidelines,2,FALSE), "")) - $Z61</f>
        <v>0</v>
      </c>
      <c r="M61" s="25"/>
      <c r="N61" s="12">
        <f>(IF(AND($G61="Frontend",OR($H61="Mobile Hybrid", $H61="Responsive")), VLOOKUP($F61,Effort_Estimate_Guidelines,VLOOKUP($H61,FormFactorGuidelines,3,FALSE),FALSE), "")) - $AA61</f>
        <v>2.9</v>
      </c>
      <c r="O61" s="25"/>
      <c r="P61" s="26"/>
      <c r="Q61" s="25"/>
      <c r="R61" s="25"/>
      <c r="S61" s="25"/>
      <c r="T61" s="24">
        <f t="shared" si="1"/>
        <v>0.58</v>
      </c>
      <c r="U61" s="24">
        <f>(IF(AND($G61="Frontend",OR($H61="Responsive", $H61="Web")), VLOOKUP($F61,Effort_Estimate_Guidelines,VLOOKUP($H61,FormFactorGuidelines,4,FALSE),FALSE), "")) - $AB61</f>
        <v>6</v>
      </c>
      <c r="V61" s="24">
        <f t="shared" si="2"/>
        <v>12.38</v>
      </c>
      <c r="W61" s="25"/>
      <c r="X61" s="26"/>
      <c r="Y61" s="13">
        <v>16.0</v>
      </c>
      <c r="Z61" s="26"/>
      <c r="AA61" s="13">
        <v>16.0</v>
      </c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</row>
    <row r="62">
      <c r="A62" s="5"/>
      <c r="B62" s="6" t="s">
        <v>113</v>
      </c>
      <c r="C62" s="6" t="s">
        <v>113</v>
      </c>
      <c r="D62" s="6" t="s">
        <v>47</v>
      </c>
      <c r="E62" s="7">
        <v>3.0</v>
      </c>
      <c r="F62" s="35" t="s">
        <v>30</v>
      </c>
      <c r="G62" s="9" t="s">
        <v>31</v>
      </c>
      <c r="H62" s="10" t="s">
        <v>32</v>
      </c>
      <c r="I62" s="11" t="s">
        <v>35</v>
      </c>
      <c r="J62" s="12"/>
      <c r="K62" s="12">
        <f>(IF(AND($G62="Frontend",OR($H62="Responsive", $H62="Web")), VLOOKUP($F62,Effort_Estimate_Guidelines,VLOOKUP($H62,FormFactorGuidelines,3,FALSE),FALSE), "")) - $Y62</f>
        <v>2.9</v>
      </c>
      <c r="L62" s="12">
        <f>(IF(OR($G62="Backend"), VLOOKUP($F62,Effort_Estimate_Guidelines,2,FALSE), "")) - $Z62</f>
        <v>0</v>
      </c>
      <c r="M62" s="14"/>
      <c r="N62" s="12">
        <f>(IF(AND($G62="Frontend",OR($H62="Mobile Hybrid", $H62="Responsive")), VLOOKUP($F62,Effort_Estimate_Guidelines,VLOOKUP($H62,FormFactorGuidelines,3,FALSE),FALSE), "")) - $AA62</f>
        <v>2.9</v>
      </c>
      <c r="O62" s="14"/>
      <c r="P62" s="12"/>
      <c r="Q62" s="14"/>
      <c r="R62" s="14"/>
      <c r="S62" s="14"/>
      <c r="T62" s="12">
        <f t="shared" si="1"/>
        <v>0.58</v>
      </c>
      <c r="U62" s="12">
        <f>(IF(AND($G62="Frontend",OR($H62="Responsive", $H62="Web")), VLOOKUP($F62,Effort_Estimate_Guidelines,VLOOKUP($H62,FormFactorGuidelines,4,FALSE),FALSE), "")) - $AB62</f>
        <v>6</v>
      </c>
      <c r="V62" s="12">
        <f t="shared" si="2"/>
        <v>12.38</v>
      </c>
      <c r="W62" s="15"/>
      <c r="X62" s="12"/>
      <c r="Y62" s="13">
        <v>16.0</v>
      </c>
      <c r="Z62" s="12"/>
      <c r="AA62" s="13">
        <v>16.0</v>
      </c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</row>
    <row r="63">
      <c r="A63" s="33">
        <v>101.0</v>
      </c>
      <c r="B63" s="6" t="s">
        <v>113</v>
      </c>
      <c r="C63" s="6" t="s">
        <v>113</v>
      </c>
      <c r="D63" s="39" t="s">
        <v>120</v>
      </c>
      <c r="E63" s="7">
        <v>3.0</v>
      </c>
      <c r="F63" s="8" t="s">
        <v>30</v>
      </c>
      <c r="G63" s="9" t="s">
        <v>31</v>
      </c>
      <c r="H63" s="10" t="s">
        <v>32</v>
      </c>
      <c r="I63" s="11" t="s">
        <v>35</v>
      </c>
      <c r="J63" s="12"/>
      <c r="K63" s="12">
        <f>(IF(AND($G63="Frontend",OR($H63="Responsive", $H63="Web")), VLOOKUP($F63,Effort_Estimate_Guidelines,VLOOKUP($H63,FormFactorGuidelines,3,FALSE),FALSE), "")) - $Y63</f>
        <v>2.9</v>
      </c>
      <c r="L63" s="12">
        <f>(IF(OR($G63="Backend"), VLOOKUP($F63,Effort_Estimate_Guidelines,2,FALSE), "")) - $Z63</f>
        <v>0</v>
      </c>
      <c r="M63" s="14"/>
      <c r="N63" s="12">
        <f>(IF(AND($G63="Frontend",OR($H63="Mobile Hybrid", $H63="Responsive")), VLOOKUP($F63,Effort_Estimate_Guidelines,VLOOKUP($H63,FormFactorGuidelines,3,FALSE),FALSE), "")) - $AA63</f>
        <v>2.9</v>
      </c>
      <c r="O63" s="14"/>
      <c r="P63" s="12"/>
      <c r="Q63" s="14"/>
      <c r="R63" s="14"/>
      <c r="S63" s="14"/>
      <c r="T63" s="12">
        <f t="shared" si="1"/>
        <v>0.58</v>
      </c>
      <c r="U63" s="12">
        <f>(IF(AND($G63="Frontend",OR($H63="Responsive", $H63="Web")), VLOOKUP($F63,Effort_Estimate_Guidelines,VLOOKUP($H63,FormFactorGuidelines,4,FALSE),FALSE), "")) - $AB63</f>
        <v>6</v>
      </c>
      <c r="V63" s="12">
        <f t="shared" si="2"/>
        <v>12.38</v>
      </c>
      <c r="W63" s="15"/>
      <c r="X63" s="12"/>
      <c r="Y63" s="13">
        <v>16.0</v>
      </c>
      <c r="Z63" s="12"/>
      <c r="AA63" s="13">
        <v>16.0</v>
      </c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</row>
    <row r="64">
      <c r="A64" s="5"/>
      <c r="B64" s="6" t="s">
        <v>113</v>
      </c>
      <c r="C64" s="6" t="s">
        <v>113</v>
      </c>
      <c r="D64" s="39" t="s">
        <v>121</v>
      </c>
      <c r="E64" s="7">
        <v>3.0</v>
      </c>
      <c r="F64" s="35" t="s">
        <v>30</v>
      </c>
      <c r="G64" s="9" t="s">
        <v>31</v>
      </c>
      <c r="H64" s="10" t="s">
        <v>32</v>
      </c>
      <c r="I64" s="11" t="s">
        <v>35</v>
      </c>
      <c r="J64" s="12"/>
      <c r="K64" s="12">
        <f>(IF(AND($G64="Frontend",OR($H64="Responsive", $H64="Web")), VLOOKUP($F64,Effort_Estimate_Guidelines,VLOOKUP($H64,FormFactorGuidelines,3,FALSE),FALSE), "")) - $Y64</f>
        <v>2.9</v>
      </c>
      <c r="L64" s="12">
        <f>(IF(OR($G64="Backend"), VLOOKUP($F64,Effort_Estimate_Guidelines,2,FALSE), "")) - $Z64</f>
        <v>0</v>
      </c>
      <c r="M64" s="14"/>
      <c r="N64" s="12">
        <f>(IF(AND($G64="Frontend",OR($H64="Mobile Hybrid", $H64="Responsive")), VLOOKUP($F64,Effort_Estimate_Guidelines,VLOOKUP($H64,FormFactorGuidelines,3,FALSE),FALSE), "")) - $AA64</f>
        <v>2.9</v>
      </c>
      <c r="O64" s="14"/>
      <c r="P64" s="12"/>
      <c r="Q64" s="14"/>
      <c r="R64" s="14"/>
      <c r="S64" s="14"/>
      <c r="T64" s="12">
        <f t="shared" si="1"/>
        <v>0.58</v>
      </c>
      <c r="U64" s="12">
        <f>(IF(AND($G64="Frontend",OR($H64="Responsive", $H64="Web")), VLOOKUP($F64,Effort_Estimate_Guidelines,VLOOKUP($H64,FormFactorGuidelines,4,FALSE),FALSE), "")) - $AB64</f>
        <v>6</v>
      </c>
      <c r="V64" s="12">
        <f t="shared" si="2"/>
        <v>12.38</v>
      </c>
      <c r="W64" s="15"/>
      <c r="X64" s="12"/>
      <c r="Y64" s="13">
        <v>16.0</v>
      </c>
      <c r="Z64" s="12"/>
      <c r="AA64" s="13">
        <v>16.0</v>
      </c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</row>
    <row r="65">
      <c r="A65" s="5"/>
      <c r="B65" s="6" t="s">
        <v>113</v>
      </c>
      <c r="C65" s="41" t="s">
        <v>122</v>
      </c>
      <c r="D65" s="16" t="s">
        <v>123</v>
      </c>
      <c r="E65" s="42">
        <v>1.0</v>
      </c>
      <c r="F65" s="35" t="s">
        <v>30</v>
      </c>
      <c r="G65" s="9" t="s">
        <v>31</v>
      </c>
      <c r="H65" s="10" t="s">
        <v>32</v>
      </c>
      <c r="I65" s="11" t="s">
        <v>35</v>
      </c>
      <c r="J65" s="12"/>
      <c r="K65" s="12">
        <f>(IF(AND($G65="Frontend",OR($H65="Responsive", $H65="Web")), VLOOKUP($F65,Effort_Estimate_Guidelines,VLOOKUP($H65,FormFactorGuidelines,3,FALSE),FALSE), "")) - $Y65</f>
        <v>2.9</v>
      </c>
      <c r="L65" s="12">
        <f>(IF(OR($G65="Backend"), VLOOKUP($F65,Effort_Estimate_Guidelines,2,FALSE), "")) - $Z65</f>
        <v>0</v>
      </c>
      <c r="M65" s="14"/>
      <c r="N65" s="12">
        <f>(IF(AND($G65="Frontend",OR($H65="Mobile Hybrid", $H65="Responsive")), VLOOKUP($F65,Effort_Estimate_Guidelines,VLOOKUP($H65,FormFactorGuidelines,3,FALSE),FALSE), "")) - $AA65</f>
        <v>2.9</v>
      </c>
      <c r="O65" s="14"/>
      <c r="P65" s="12"/>
      <c r="Q65" s="14"/>
      <c r="R65" s="14"/>
      <c r="S65" s="14"/>
      <c r="T65" s="12">
        <f t="shared" si="1"/>
        <v>0.58</v>
      </c>
      <c r="U65" s="12">
        <f>(IF(AND($G65="Frontend",OR($H65="Responsive", $H65="Web")), VLOOKUP($F65,Effort_Estimate_Guidelines,VLOOKUP($H65,FormFactorGuidelines,4,FALSE),FALSE), "")) - $AB65</f>
        <v>6</v>
      </c>
      <c r="V65" s="12">
        <f t="shared" si="2"/>
        <v>12.38</v>
      </c>
      <c r="W65" s="15"/>
      <c r="X65" s="12"/>
      <c r="Y65" s="13">
        <v>16.0</v>
      </c>
      <c r="Z65" s="12"/>
      <c r="AA65" s="13">
        <v>16.0</v>
      </c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</row>
    <row r="66">
      <c r="A66" s="28"/>
      <c r="B66" s="29" t="s">
        <v>113</v>
      </c>
      <c r="C66" s="43" t="s">
        <v>122</v>
      </c>
      <c r="D66" s="30" t="s">
        <v>124</v>
      </c>
      <c r="E66" s="44">
        <v>1.0</v>
      </c>
      <c r="F66" s="34" t="s">
        <v>30</v>
      </c>
      <c r="G66" s="9" t="s">
        <v>31</v>
      </c>
      <c r="H66" s="10" t="s">
        <v>32</v>
      </c>
      <c r="I66" s="11" t="s">
        <v>35</v>
      </c>
      <c r="J66" s="12"/>
      <c r="K66" s="12">
        <f>(IF(AND($G66="Frontend",OR($H66="Responsive", $H66="Web")), VLOOKUP($F66,Effort_Estimate_Guidelines,VLOOKUP($H66,FormFactorGuidelines,3,FALSE),FALSE), "")) - $Y66</f>
        <v>2.9</v>
      </c>
      <c r="L66" s="12">
        <f>(IF(OR($G66="Backend"), VLOOKUP($F66,Effort_Estimate_Guidelines,2,FALSE), "")) - $Z66</f>
        <v>0</v>
      </c>
      <c r="M66" s="14"/>
      <c r="N66" s="12">
        <f>(IF(AND($G66="Frontend",OR($H66="Mobile Hybrid", $H66="Responsive")), VLOOKUP($F66,Effort_Estimate_Guidelines,VLOOKUP($H66,FormFactorGuidelines,3,FALSE),FALSE), "")) - $AA66</f>
        <v>2.9</v>
      </c>
      <c r="O66" s="14"/>
      <c r="P66" s="12"/>
      <c r="Q66" s="14"/>
      <c r="R66" s="14"/>
      <c r="S66" s="14"/>
      <c r="T66" s="12">
        <f t="shared" si="1"/>
        <v>0.58</v>
      </c>
      <c r="U66" s="12">
        <f>(IF(AND($G66="Frontend",OR($H66="Responsive", $H66="Web")), VLOOKUP($F66,Effort_Estimate_Guidelines,VLOOKUP($H66,FormFactorGuidelines,4,FALSE),FALSE), "")) - $AB66</f>
        <v>6</v>
      </c>
      <c r="V66" s="12">
        <f t="shared" si="2"/>
        <v>12.38</v>
      </c>
      <c r="W66" s="15"/>
      <c r="X66" s="12"/>
      <c r="Y66" s="13">
        <v>16.0</v>
      </c>
      <c r="Z66" s="12"/>
      <c r="AA66" s="13">
        <v>16.0</v>
      </c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</row>
    <row r="67">
      <c r="A67" s="5"/>
      <c r="B67" s="6" t="s">
        <v>113</v>
      </c>
      <c r="C67" s="6" t="s">
        <v>113</v>
      </c>
      <c r="D67" s="6" t="s">
        <v>125</v>
      </c>
      <c r="E67" s="7">
        <v>3.0</v>
      </c>
      <c r="F67" s="8" t="s">
        <v>30</v>
      </c>
      <c r="G67" s="9" t="s">
        <v>31</v>
      </c>
      <c r="H67" s="10" t="s">
        <v>32</v>
      </c>
      <c r="I67" s="11" t="s">
        <v>35</v>
      </c>
      <c r="J67" s="12"/>
      <c r="K67" s="12">
        <f>(IF(AND($G67="Frontend",OR($H67="Responsive", $H67="Web")), VLOOKUP($F67,Effort_Estimate_Guidelines,VLOOKUP($H67,FormFactorGuidelines,3,FALSE),FALSE), "")) - $Y67</f>
        <v>2.9</v>
      </c>
      <c r="L67" s="12">
        <f>(IF(OR($G67="Backend"), VLOOKUP($F67,Effort_Estimate_Guidelines,2,FALSE), "")) - $Z67</f>
        <v>0</v>
      </c>
      <c r="M67" s="14"/>
      <c r="N67" s="12">
        <f>(IF(AND($G67="Frontend",OR($H67="Mobile Hybrid", $H67="Responsive")), VLOOKUP($F67,Effort_Estimate_Guidelines,VLOOKUP($H67,FormFactorGuidelines,3,FALSE),FALSE), "")) - $AA67</f>
        <v>2.9</v>
      </c>
      <c r="O67" s="14"/>
      <c r="P67" s="12"/>
      <c r="Q67" s="14"/>
      <c r="R67" s="14"/>
      <c r="S67" s="14"/>
      <c r="T67" s="12">
        <f t="shared" si="1"/>
        <v>0.58</v>
      </c>
      <c r="U67" s="12">
        <f>(IF(AND($G67="Frontend",OR($H67="Responsive", $H67="Web")), VLOOKUP($F67,Effort_Estimate_Guidelines,VLOOKUP($H67,FormFactorGuidelines,4,FALSE),FALSE), "")) - $AB67</f>
        <v>6</v>
      </c>
      <c r="V67" s="12">
        <f t="shared" si="2"/>
        <v>12.38</v>
      </c>
      <c r="W67" s="15"/>
      <c r="X67" s="12"/>
      <c r="Y67" s="13">
        <v>16.0</v>
      </c>
      <c r="Z67" s="12"/>
      <c r="AA67" s="13">
        <v>16.0</v>
      </c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</row>
    <row r="68">
      <c r="A68" s="18"/>
      <c r="B68" s="19" t="s">
        <v>113</v>
      </c>
      <c r="C68" s="18" t="s">
        <v>126</v>
      </c>
      <c r="D68" s="20" t="s">
        <v>127</v>
      </c>
      <c r="E68" s="21">
        <v>3.0</v>
      </c>
      <c r="F68" s="22" t="s">
        <v>30</v>
      </c>
      <c r="G68" s="21" t="s">
        <v>31</v>
      </c>
      <c r="H68" s="23" t="s">
        <v>32</v>
      </c>
      <c r="I68" s="11" t="s">
        <v>33</v>
      </c>
      <c r="J68" s="24"/>
      <c r="K68" s="24">
        <f>(IF(AND($G68="Frontend",OR($H68="Responsive", $H68="Web")), VLOOKUP($F68,Effort_Estimate_Guidelines,VLOOKUP($H68,FormFactorGuidelines,3,FALSE),FALSE), "")) - $Y68</f>
        <v>2.9</v>
      </c>
      <c r="L68" s="24">
        <f>(IF(OR($G68="Backend"), VLOOKUP($F68,Effort_Estimate_Guidelines,2,FALSE), "")) - $Z68</f>
        <v>0</v>
      </c>
      <c r="M68" s="25"/>
      <c r="N68" s="12">
        <f>(IF(AND($G68="Frontend",OR($H68="Mobile Hybrid", $H68="Responsive")), VLOOKUP($F68,Effort_Estimate_Guidelines,VLOOKUP($H68,FormFactorGuidelines,3,FALSE),FALSE), "")) - $AA68</f>
        <v>2.9</v>
      </c>
      <c r="O68" s="25"/>
      <c r="P68" s="26"/>
      <c r="Q68" s="25"/>
      <c r="R68" s="25"/>
      <c r="S68" s="25"/>
      <c r="T68" s="24">
        <f t="shared" si="1"/>
        <v>0.58</v>
      </c>
      <c r="U68" s="24">
        <f>(IF(AND($G68="Frontend",OR($H68="Responsive", $H68="Web")), VLOOKUP($F68,Effort_Estimate_Guidelines,VLOOKUP($H68,FormFactorGuidelines,4,FALSE),FALSE), "")) - $AB68</f>
        <v>6</v>
      </c>
      <c r="V68" s="24">
        <f t="shared" si="2"/>
        <v>12.38</v>
      </c>
      <c r="W68" s="25"/>
      <c r="X68" s="26"/>
      <c r="Y68" s="13">
        <v>16.0</v>
      </c>
      <c r="Z68" s="26"/>
      <c r="AA68" s="13">
        <v>16.0</v>
      </c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</row>
    <row r="69">
      <c r="A69" s="18"/>
      <c r="B69" s="19" t="s">
        <v>113</v>
      </c>
      <c r="C69" s="18" t="s">
        <v>126</v>
      </c>
      <c r="D69" s="20" t="s">
        <v>128</v>
      </c>
      <c r="E69" s="21">
        <v>3.0</v>
      </c>
      <c r="F69" s="35" t="s">
        <v>30</v>
      </c>
      <c r="G69" s="21" t="s">
        <v>31</v>
      </c>
      <c r="H69" s="23" t="s">
        <v>32</v>
      </c>
      <c r="I69" s="11" t="s">
        <v>33</v>
      </c>
      <c r="J69" s="24"/>
      <c r="K69" s="24">
        <f>(IF(AND($G69="Frontend",OR($H69="Responsive", $H69="Web")), VLOOKUP($F69,Effort_Estimate_Guidelines,VLOOKUP($H69,FormFactorGuidelines,3,FALSE),FALSE), "")) - $Y69</f>
        <v>2.9</v>
      </c>
      <c r="L69" s="24">
        <f>(IF(OR($G69="Backend"), VLOOKUP($F69,Effort_Estimate_Guidelines,2,FALSE), "")) - $Z69</f>
        <v>0</v>
      </c>
      <c r="M69" s="25"/>
      <c r="N69" s="12">
        <f>(IF(AND($G69="Frontend",OR($H69="Mobile Hybrid", $H69="Responsive")), VLOOKUP($F69,Effort_Estimate_Guidelines,VLOOKUP($H69,FormFactorGuidelines,3,FALSE),FALSE), "")) - $AA69</f>
        <v>2.9</v>
      </c>
      <c r="O69" s="25"/>
      <c r="P69" s="26"/>
      <c r="Q69" s="25"/>
      <c r="R69" s="25"/>
      <c r="S69" s="25"/>
      <c r="T69" s="24">
        <f t="shared" si="1"/>
        <v>0.58</v>
      </c>
      <c r="U69" s="24">
        <f>(IF(AND($G69="Frontend",OR($H69="Responsive", $H69="Web")), VLOOKUP($F69,Effort_Estimate_Guidelines,VLOOKUP($H69,FormFactorGuidelines,4,FALSE),FALSE), "")) - $AB69</f>
        <v>6</v>
      </c>
      <c r="V69" s="24">
        <f t="shared" si="2"/>
        <v>12.38</v>
      </c>
      <c r="W69" s="25"/>
      <c r="X69" s="26"/>
      <c r="Y69" s="13">
        <v>16.0</v>
      </c>
      <c r="Z69" s="26"/>
      <c r="AA69" s="13">
        <v>16.0</v>
      </c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</row>
    <row r="70">
      <c r="A70" s="5"/>
      <c r="B70" s="6" t="s">
        <v>113</v>
      </c>
      <c r="C70" s="16" t="s">
        <v>129</v>
      </c>
      <c r="D70" s="6" t="s">
        <v>130</v>
      </c>
      <c r="E70" s="7">
        <v>3.0</v>
      </c>
      <c r="F70" s="8" t="s">
        <v>30</v>
      </c>
      <c r="G70" s="9" t="s">
        <v>31</v>
      </c>
      <c r="H70" s="10" t="s">
        <v>32</v>
      </c>
      <c r="I70" s="11" t="s">
        <v>33</v>
      </c>
      <c r="J70" s="12"/>
      <c r="K70" s="12">
        <f>(IF(AND($G70="Frontend",OR($H70="Responsive", $H70="Web")), VLOOKUP($F70,Effort_Estimate_Guidelines,VLOOKUP($H70,FormFactorGuidelines,3,FALSE),FALSE), "")) - $Y70</f>
        <v>2.9</v>
      </c>
      <c r="L70" s="12">
        <f>(IF(OR($G70="Backend"), VLOOKUP($F70,Effort_Estimate_Guidelines,2,FALSE), "")) - $Z70</f>
        <v>0</v>
      </c>
      <c r="M70" s="14"/>
      <c r="N70" s="12">
        <f>(IF(AND($G70="Frontend",OR($H70="Mobile Hybrid", $H70="Responsive")), VLOOKUP($F70,Effort_Estimate_Guidelines,VLOOKUP($H70,FormFactorGuidelines,3,FALSE),FALSE), "")) - $AA70</f>
        <v>2.9</v>
      </c>
      <c r="O70" s="14"/>
      <c r="P70" s="12"/>
      <c r="Q70" s="14"/>
      <c r="R70" s="14"/>
      <c r="S70" s="14"/>
      <c r="T70" s="12">
        <f t="shared" si="1"/>
        <v>0.58</v>
      </c>
      <c r="U70" s="12">
        <f>(IF(AND($G70="Frontend",OR($H70="Responsive", $H70="Web")), VLOOKUP($F70,Effort_Estimate_Guidelines,VLOOKUP($H70,FormFactorGuidelines,4,FALSE),FALSE), "")) - $AB70</f>
        <v>6</v>
      </c>
      <c r="V70" s="12">
        <f t="shared" si="2"/>
        <v>12.38</v>
      </c>
      <c r="W70" s="15"/>
      <c r="X70" s="12"/>
      <c r="Y70" s="13">
        <v>16.0</v>
      </c>
      <c r="Z70" s="12"/>
      <c r="AA70" s="13">
        <v>16.0</v>
      </c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</row>
    <row r="71">
      <c r="A71" s="5"/>
      <c r="B71" s="6" t="s">
        <v>113</v>
      </c>
      <c r="C71" s="16" t="s">
        <v>129</v>
      </c>
      <c r="D71" s="39" t="s">
        <v>131</v>
      </c>
      <c r="E71" s="7">
        <v>3.0</v>
      </c>
      <c r="F71" s="8" t="s">
        <v>30</v>
      </c>
      <c r="G71" s="9" t="s">
        <v>31</v>
      </c>
      <c r="H71" s="10" t="s">
        <v>32</v>
      </c>
      <c r="I71" s="11" t="s">
        <v>33</v>
      </c>
      <c r="J71" s="12"/>
      <c r="K71" s="12">
        <f>(IF(AND($G71="Frontend",OR($H71="Responsive", $H71="Web")), VLOOKUP($F71,Effort_Estimate_Guidelines,VLOOKUP($H71,FormFactorGuidelines,3,FALSE),FALSE), "")) - $Y71</f>
        <v>2.9</v>
      </c>
      <c r="L71" s="12">
        <f>(IF(OR($G71="Backend"), VLOOKUP($F71,Effort_Estimate_Guidelines,2,FALSE), "")) - $Z71</f>
        <v>0</v>
      </c>
      <c r="M71" s="14"/>
      <c r="N71" s="12">
        <f>(IF(AND($G71="Frontend",OR($H71="Mobile Hybrid", $H71="Responsive")), VLOOKUP($F71,Effort_Estimate_Guidelines,VLOOKUP($H71,FormFactorGuidelines,3,FALSE),FALSE), "")) - $AA71</f>
        <v>2.9</v>
      </c>
      <c r="O71" s="14"/>
      <c r="P71" s="12"/>
      <c r="Q71" s="14"/>
      <c r="R71" s="14"/>
      <c r="S71" s="14"/>
      <c r="T71" s="12">
        <f t="shared" si="1"/>
        <v>0.58</v>
      </c>
      <c r="U71" s="12">
        <f>(IF(AND($G71="Frontend",OR($H71="Responsive", $H71="Web")), VLOOKUP($F71,Effort_Estimate_Guidelines,VLOOKUP($H71,FormFactorGuidelines,4,FALSE),FALSE), "")) - $AB71</f>
        <v>6</v>
      </c>
      <c r="V71" s="12">
        <f t="shared" si="2"/>
        <v>12.38</v>
      </c>
      <c r="W71" s="15"/>
      <c r="X71" s="12"/>
      <c r="Y71" s="13">
        <v>16.0</v>
      </c>
      <c r="Z71" s="12"/>
      <c r="AA71" s="13">
        <v>16.0</v>
      </c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</row>
    <row r="72">
      <c r="A72" s="5"/>
      <c r="B72" s="6" t="s">
        <v>113</v>
      </c>
      <c r="C72" s="16" t="s">
        <v>129</v>
      </c>
      <c r="D72" s="6" t="s">
        <v>132</v>
      </c>
      <c r="E72" s="7">
        <v>3.0</v>
      </c>
      <c r="F72" s="8" t="s">
        <v>30</v>
      </c>
      <c r="G72" s="9" t="s">
        <v>31</v>
      </c>
      <c r="H72" s="10" t="s">
        <v>32</v>
      </c>
      <c r="I72" s="11" t="s">
        <v>33</v>
      </c>
      <c r="J72" s="12"/>
      <c r="K72" s="12">
        <f>(IF(AND($G72="Frontend",OR($H72="Responsive", $H72="Web")), VLOOKUP($F72,Effort_Estimate_Guidelines,VLOOKUP($H72,FormFactorGuidelines,3,FALSE),FALSE), "")) - $Y72</f>
        <v>2.9</v>
      </c>
      <c r="L72" s="12">
        <f>(IF(OR($G72="Backend"), VLOOKUP($F72,Effort_Estimate_Guidelines,2,FALSE), "")) - $Z72</f>
        <v>0</v>
      </c>
      <c r="M72" s="14"/>
      <c r="N72" s="12">
        <f>(IF(AND($G72="Frontend",OR($H72="Mobile Hybrid", $H72="Responsive")), VLOOKUP($F72,Effort_Estimate_Guidelines,VLOOKUP($H72,FormFactorGuidelines,3,FALSE),FALSE), "")) - $AA72</f>
        <v>2.9</v>
      </c>
      <c r="O72" s="14"/>
      <c r="P72" s="12"/>
      <c r="Q72" s="14"/>
      <c r="R72" s="14"/>
      <c r="S72" s="14"/>
      <c r="T72" s="12">
        <f t="shared" si="1"/>
        <v>0.58</v>
      </c>
      <c r="U72" s="12">
        <f>(IF(AND($G72="Frontend",OR($H72="Responsive", $H72="Web")), VLOOKUP($F72,Effort_Estimate_Guidelines,VLOOKUP($H72,FormFactorGuidelines,4,FALSE),FALSE), "")) - $AB72</f>
        <v>6</v>
      </c>
      <c r="V72" s="12">
        <f t="shared" si="2"/>
        <v>12.38</v>
      </c>
      <c r="W72" s="15"/>
      <c r="X72" s="12"/>
      <c r="Y72" s="13">
        <v>16.0</v>
      </c>
      <c r="Z72" s="12"/>
      <c r="AA72" s="13">
        <v>16.0</v>
      </c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</row>
    <row r="73">
      <c r="A73" s="5"/>
      <c r="B73" s="6" t="s">
        <v>113</v>
      </c>
      <c r="C73" s="16" t="s">
        <v>129</v>
      </c>
      <c r="D73" s="6" t="s">
        <v>133</v>
      </c>
      <c r="E73" s="7">
        <v>3.0</v>
      </c>
      <c r="F73" s="8" t="s">
        <v>30</v>
      </c>
      <c r="G73" s="9" t="s">
        <v>31</v>
      </c>
      <c r="H73" s="10" t="s">
        <v>32</v>
      </c>
      <c r="I73" s="11" t="s">
        <v>33</v>
      </c>
      <c r="J73" s="12"/>
      <c r="K73" s="12">
        <f>(IF(AND($G73="Frontend",OR($H73="Responsive", $H73="Web")), VLOOKUP($F73,Effort_Estimate_Guidelines,VLOOKUP($H73,FormFactorGuidelines,3,FALSE),FALSE), "")) - $Y73</f>
        <v>2.9</v>
      </c>
      <c r="L73" s="12">
        <f>(IF(OR($G73="Backend"), VLOOKUP($F73,Effort_Estimate_Guidelines,2,FALSE), "")) - $Z73</f>
        <v>0</v>
      </c>
      <c r="M73" s="14"/>
      <c r="N73" s="12">
        <f>(IF(AND($G73="Frontend",OR($H73="Mobile Hybrid", $H73="Responsive")), VLOOKUP($F73,Effort_Estimate_Guidelines,VLOOKUP($H73,FormFactorGuidelines,3,FALSE),FALSE), "")) - $AA73</f>
        <v>2.9</v>
      </c>
      <c r="O73" s="14"/>
      <c r="P73" s="12"/>
      <c r="Q73" s="14"/>
      <c r="R73" s="14"/>
      <c r="S73" s="14"/>
      <c r="T73" s="12">
        <f t="shared" si="1"/>
        <v>0.58</v>
      </c>
      <c r="U73" s="12">
        <f>(IF(AND($G73="Frontend",OR($H73="Responsive", $H73="Web")), VLOOKUP($F73,Effort_Estimate_Guidelines,VLOOKUP($H73,FormFactorGuidelines,4,FALSE),FALSE), "")) - $AB73</f>
        <v>6</v>
      </c>
      <c r="V73" s="12">
        <f t="shared" si="2"/>
        <v>12.38</v>
      </c>
      <c r="W73" s="15"/>
      <c r="X73" s="12"/>
      <c r="Y73" s="13">
        <v>16.0</v>
      </c>
      <c r="Z73" s="12"/>
      <c r="AA73" s="13">
        <v>16.0</v>
      </c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</row>
    <row r="74">
      <c r="A74" s="28"/>
      <c r="B74" s="29" t="s">
        <v>113</v>
      </c>
      <c r="C74" s="30" t="s">
        <v>134</v>
      </c>
      <c r="D74" s="30" t="s">
        <v>135</v>
      </c>
      <c r="E74" s="31">
        <v>3.0</v>
      </c>
      <c r="F74" s="34" t="s">
        <v>30</v>
      </c>
      <c r="G74" s="31" t="s">
        <v>31</v>
      </c>
      <c r="H74" s="32" t="s">
        <v>32</v>
      </c>
      <c r="I74" s="11" t="s">
        <v>35</v>
      </c>
      <c r="J74" s="24"/>
      <c r="K74" s="24">
        <f>(IF(AND($G74="Frontend",OR($H74="Responsive", $H74="Web")), VLOOKUP($F74,Effort_Estimate_Guidelines,VLOOKUP($H74,FormFactorGuidelines,3,FALSE),FALSE), "")) - $Y74</f>
        <v>2.9</v>
      </c>
      <c r="L74" s="24">
        <f>(IF(OR($G74="Backend"), VLOOKUP($F74,Effort_Estimate_Guidelines,2,FALSE), "")) - $Z74</f>
        <v>0</v>
      </c>
      <c r="M74" s="25"/>
      <c r="N74" s="12">
        <f>(IF(AND($G74="Frontend",OR($H74="Mobile Hybrid", $H74="Responsive")), VLOOKUP($F74,Effort_Estimate_Guidelines,VLOOKUP($H74,FormFactorGuidelines,3,FALSE),FALSE), "")) - $AA74</f>
        <v>2.9</v>
      </c>
      <c r="O74" s="25"/>
      <c r="P74" s="26"/>
      <c r="Q74" s="25"/>
      <c r="R74" s="25"/>
      <c r="S74" s="25"/>
      <c r="T74" s="24">
        <f t="shared" si="1"/>
        <v>0.58</v>
      </c>
      <c r="U74" s="24">
        <f>(IF(AND($G74="Frontend",OR($H74="Responsive", $H74="Web")), VLOOKUP($F74,Effort_Estimate_Guidelines,VLOOKUP($H74,FormFactorGuidelines,4,FALSE),FALSE), "")) - $AB74</f>
        <v>6</v>
      </c>
      <c r="V74" s="24">
        <f t="shared" si="2"/>
        <v>12.38</v>
      </c>
      <c r="W74" s="25"/>
      <c r="X74" s="26"/>
      <c r="Y74" s="13">
        <v>16.0</v>
      </c>
      <c r="Z74" s="26"/>
      <c r="AA74" s="13">
        <v>16.0</v>
      </c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</row>
    <row r="75">
      <c r="A75" s="28"/>
      <c r="B75" s="30" t="s">
        <v>136</v>
      </c>
      <c r="C75" s="30" t="s">
        <v>137</v>
      </c>
      <c r="D75" s="30" t="s">
        <v>138</v>
      </c>
      <c r="E75" s="45">
        <v>12.0</v>
      </c>
      <c r="F75" s="46" t="s">
        <v>98</v>
      </c>
      <c r="G75" s="31" t="s">
        <v>31</v>
      </c>
      <c r="H75" s="32" t="s">
        <v>32</v>
      </c>
      <c r="I75" s="11" t="s">
        <v>38</v>
      </c>
      <c r="J75" s="24"/>
      <c r="K75" s="24">
        <f>(IF(AND($G75="Frontend",OR($H75="Responsive", $H75="Web")), VLOOKUP($F75,Effort_Estimate_Guidelines,VLOOKUP($H75,FormFactorGuidelines,3,FALSE),FALSE), "")) - $Y75</f>
        <v>40.95</v>
      </c>
      <c r="L75" s="24">
        <f>(IF(OR($G75="Backend"), VLOOKUP($F75,Effort_Estimate_Guidelines,2,FALSE), "")) - $Z75</f>
        <v>0</v>
      </c>
      <c r="M75" s="25"/>
      <c r="N75" s="12">
        <f>(IF(AND($G75="Frontend",OR($H75="Mobile Hybrid", $H75="Responsive")), VLOOKUP($F75,Effort_Estimate_Guidelines,VLOOKUP($H75,FormFactorGuidelines,3,FALSE),FALSE), "")) - $AA75</f>
        <v>40.95</v>
      </c>
      <c r="O75" s="25"/>
      <c r="P75" s="26"/>
      <c r="Q75" s="25"/>
      <c r="R75" s="25"/>
      <c r="S75" s="25"/>
      <c r="T75" s="24">
        <f t="shared" si="1"/>
        <v>8.19</v>
      </c>
      <c r="U75" s="24">
        <f>(IF(AND($G75="Frontend",OR($H75="Responsive", $H75="Web")), VLOOKUP($F75,Effort_Estimate_Guidelines,VLOOKUP($H75,FormFactorGuidelines,4,FALSE),FALSE), "")) - $AB75</f>
        <v>12</v>
      </c>
      <c r="V75" s="24">
        <f t="shared" si="2"/>
        <v>102.09</v>
      </c>
      <c r="W75" s="25"/>
      <c r="X75" s="26"/>
      <c r="Y75" s="26"/>
      <c r="Z75" s="26"/>
      <c r="AA75" s="26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</row>
    <row r="76">
      <c r="A76" s="28"/>
      <c r="B76" s="30" t="s">
        <v>136</v>
      </c>
      <c r="C76" s="30" t="s">
        <v>139</v>
      </c>
      <c r="D76" s="11" t="s">
        <v>140</v>
      </c>
      <c r="E76" s="45">
        <v>12.0</v>
      </c>
      <c r="F76" s="46" t="s">
        <v>141</v>
      </c>
      <c r="G76" s="31" t="s">
        <v>31</v>
      </c>
      <c r="H76" s="32" t="s">
        <v>32</v>
      </c>
      <c r="I76" s="11" t="s">
        <v>38</v>
      </c>
      <c r="J76" s="24"/>
      <c r="K76" s="24">
        <f>(IF(AND($G76="Frontend",OR($H76="Responsive", $H76="Web")), VLOOKUP($F76,Effort_Estimate_Guidelines,VLOOKUP($H76,FormFactorGuidelines,3,FALSE),FALSE), "")) - $Y76</f>
        <v>74.76</v>
      </c>
      <c r="L76" s="24">
        <f>(IF(OR($G76="Backend"), VLOOKUP($F76,Effort_Estimate_Guidelines,2,FALSE), "")) - $Z76</f>
        <v>0</v>
      </c>
      <c r="M76" s="25"/>
      <c r="N76" s="13">
        <v>0.0</v>
      </c>
      <c r="O76" s="25"/>
      <c r="P76" s="26"/>
      <c r="Q76" s="25"/>
      <c r="R76" s="25"/>
      <c r="S76" s="25"/>
      <c r="T76" s="24">
        <f t="shared" si="1"/>
        <v>14.952</v>
      </c>
      <c r="U76" s="24">
        <f>(IF(AND($G76="Frontend",OR($H76="Responsive", $H76="Web")), VLOOKUP($F76,Effort_Estimate_Guidelines,VLOOKUP($H76,FormFactorGuidelines,4,FALSE),FALSE), "")) - $AB76</f>
        <v>20</v>
      </c>
      <c r="V76" s="24">
        <f t="shared" si="2"/>
        <v>109.712</v>
      </c>
      <c r="W76" s="25"/>
      <c r="X76" s="26"/>
      <c r="Y76" s="26"/>
      <c r="Z76" s="26"/>
      <c r="AA76" s="26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</row>
    <row r="77">
      <c r="A77" s="5"/>
      <c r="B77" s="47" t="s">
        <v>142</v>
      </c>
      <c r="C77" s="47" t="s">
        <v>143</v>
      </c>
      <c r="D77" s="5"/>
      <c r="E77" s="42">
        <v>0.0</v>
      </c>
      <c r="F77" s="8" t="s">
        <v>98</v>
      </c>
      <c r="G77" s="48" t="s">
        <v>144</v>
      </c>
      <c r="H77" s="10" t="s">
        <v>32</v>
      </c>
      <c r="I77" s="11" t="s">
        <v>33</v>
      </c>
      <c r="J77" s="12"/>
      <c r="K77" s="12">
        <f>(IF(AND($G77="Frontend",OR($H77="Responsive", $H77="Web")), VLOOKUP($F77,Effort_Estimate_Guidelines,VLOOKUP($H77,FormFactorGuidelines,3,FALSE),FALSE), "")) - $Y77</f>
        <v>0</v>
      </c>
      <c r="L77" s="12">
        <f>(IF(OR($G77="Backend"), VLOOKUP($F77,Effort_Estimate_Guidelines,2,FALSE), "")) - $Z77</f>
        <v>46.74</v>
      </c>
      <c r="M77" s="14"/>
      <c r="N77" s="12">
        <f>(IF(AND($G77="Frontend",OR($H77="Mobile Hybrid", $H77="Responsive")), VLOOKUP($F77,Effort_Estimate_Guidelines,VLOOKUP($H77,FormFactorGuidelines,3,FALSE),FALSE), "")) - $AA77</f>
        <v>0</v>
      </c>
      <c r="O77" s="14"/>
      <c r="P77" s="12"/>
      <c r="Q77" s="14"/>
      <c r="R77" s="14"/>
      <c r="S77" s="14"/>
      <c r="T77" s="12">
        <f t="shared" si="1"/>
        <v>9.348</v>
      </c>
      <c r="U77" s="12">
        <f>(IF(AND($G77="Frontend",OR($H77="Responsive", $H77="Web")), VLOOKUP($F77,Effort_Estimate_Guidelines,VLOOKUP($H77,FormFactorGuidelines,4,FALSE),FALSE), "")) - $AB77</f>
        <v>0</v>
      </c>
      <c r="V77" s="12">
        <f t="shared" si="2"/>
        <v>56.088</v>
      </c>
      <c r="W77" s="15"/>
      <c r="X77" s="12"/>
      <c r="Y77" s="12"/>
      <c r="Z77" s="13">
        <v>15.0</v>
      </c>
      <c r="AA77" s="12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</row>
    <row r="78">
      <c r="A78" s="5"/>
      <c r="B78" s="47" t="s">
        <v>142</v>
      </c>
      <c r="C78" s="47" t="s">
        <v>143</v>
      </c>
      <c r="D78" s="5"/>
      <c r="E78" s="42">
        <v>0.0</v>
      </c>
      <c r="F78" s="8" t="s">
        <v>98</v>
      </c>
      <c r="G78" s="48" t="s">
        <v>144</v>
      </c>
      <c r="H78" s="10" t="s">
        <v>32</v>
      </c>
      <c r="I78" s="11" t="s">
        <v>35</v>
      </c>
      <c r="J78" s="12"/>
      <c r="K78" s="12">
        <f>(IF(AND($G78="Frontend",OR($H78="Responsive", $H78="Web")), VLOOKUP($F78,Effort_Estimate_Guidelines,VLOOKUP($H78,FormFactorGuidelines,3,FALSE),FALSE), "")) - $Y78</f>
        <v>0</v>
      </c>
      <c r="L78" s="12">
        <f>(IF(OR($G78="Backend"), VLOOKUP($F78,Effort_Estimate_Guidelines,2,FALSE), "")) - $Z78</f>
        <v>46.74</v>
      </c>
      <c r="M78" s="14"/>
      <c r="N78" s="12">
        <f>(IF(AND($G78="Frontend",OR($H78="Mobile Hybrid", $H78="Responsive")), VLOOKUP($F78,Effort_Estimate_Guidelines,VLOOKUP($H78,FormFactorGuidelines,3,FALSE),FALSE), "")) - $AA78</f>
        <v>0</v>
      </c>
      <c r="O78" s="14"/>
      <c r="P78" s="12"/>
      <c r="Q78" s="14"/>
      <c r="R78" s="14"/>
      <c r="S78" s="14"/>
      <c r="T78" s="12">
        <f t="shared" si="1"/>
        <v>9.348</v>
      </c>
      <c r="U78" s="12">
        <f>(IF(AND($G78="Frontend",OR($H78="Responsive", $H78="Web")), VLOOKUP($F78,Effort_Estimate_Guidelines,VLOOKUP($H78,FormFactorGuidelines,4,FALSE),FALSE), "")) - $AB78</f>
        <v>0</v>
      </c>
      <c r="V78" s="12">
        <f t="shared" si="2"/>
        <v>56.088</v>
      </c>
      <c r="W78" s="15"/>
      <c r="X78" s="12"/>
      <c r="Y78" s="12"/>
      <c r="Z78" s="13">
        <v>15.0</v>
      </c>
      <c r="AA78" s="12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</row>
    <row r="79">
      <c r="A79" s="5"/>
      <c r="B79" s="47" t="s">
        <v>142</v>
      </c>
      <c r="C79" s="47" t="s">
        <v>145</v>
      </c>
      <c r="D79" s="5"/>
      <c r="E79" s="42">
        <v>0.0</v>
      </c>
      <c r="F79" s="8" t="s">
        <v>30</v>
      </c>
      <c r="G79" s="48" t="s">
        <v>144</v>
      </c>
      <c r="H79" s="10" t="s">
        <v>32</v>
      </c>
      <c r="I79" s="11" t="s">
        <v>33</v>
      </c>
      <c r="J79" s="12"/>
      <c r="K79" s="12">
        <f>(IF(AND($G79="Frontend",OR($H79="Responsive", $H79="Web")), VLOOKUP($F79,Effort_Estimate_Guidelines,VLOOKUP($H79,FormFactorGuidelines,3,FALSE),FALSE), "")) - $Y79</f>
        <v>0</v>
      </c>
      <c r="L79" s="12">
        <f>(IF(OR($G79="Backend"), VLOOKUP($F79,Effort_Estimate_Guidelines,2,FALSE), "")) - $Z79</f>
        <v>25.115</v>
      </c>
      <c r="M79" s="14"/>
      <c r="N79" s="12">
        <f>(IF(AND($G79="Frontend",OR($H79="Mobile Hybrid", $H79="Responsive")), VLOOKUP($F79,Effort_Estimate_Guidelines,VLOOKUP($H79,FormFactorGuidelines,3,FALSE),FALSE), "")) - $AA79</f>
        <v>0</v>
      </c>
      <c r="O79" s="14"/>
      <c r="P79" s="12"/>
      <c r="Q79" s="14"/>
      <c r="R79" s="14"/>
      <c r="S79" s="14"/>
      <c r="T79" s="12">
        <f t="shared" si="1"/>
        <v>5.023</v>
      </c>
      <c r="U79" s="12">
        <f>(IF(AND($G79="Frontend",OR($H79="Responsive", $H79="Web")), VLOOKUP($F79,Effort_Estimate_Guidelines,VLOOKUP($H79,FormFactorGuidelines,4,FALSE),FALSE), "")) - $AB79</f>
        <v>0</v>
      </c>
      <c r="V79" s="12">
        <f t="shared" si="2"/>
        <v>30.138</v>
      </c>
      <c r="W79" s="15"/>
      <c r="X79" s="12"/>
      <c r="Y79" s="12"/>
      <c r="Z79" s="13">
        <v>-8.0</v>
      </c>
      <c r="AA79" s="12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</row>
    <row r="80">
      <c r="A80" s="5"/>
      <c r="B80" s="47" t="s">
        <v>142</v>
      </c>
      <c r="C80" s="47" t="s">
        <v>145</v>
      </c>
      <c r="D80" s="5"/>
      <c r="E80" s="42">
        <v>0.0</v>
      </c>
      <c r="F80" s="8" t="s">
        <v>30</v>
      </c>
      <c r="G80" s="48" t="s">
        <v>144</v>
      </c>
      <c r="H80" s="10" t="s">
        <v>32</v>
      </c>
      <c r="I80" s="11" t="s">
        <v>35</v>
      </c>
      <c r="J80" s="12"/>
      <c r="K80" s="12">
        <f>(IF(AND($G80="Frontend",OR($H80="Responsive", $H80="Web")), VLOOKUP($F80,Effort_Estimate_Guidelines,VLOOKUP($H80,FormFactorGuidelines,3,FALSE),FALSE), "")) - $Y80</f>
        <v>0</v>
      </c>
      <c r="L80" s="12">
        <f>(IF(OR($G80="Backend"), VLOOKUP($F80,Effort_Estimate_Guidelines,2,FALSE), "")) - $Z80</f>
        <v>25.115</v>
      </c>
      <c r="M80" s="14"/>
      <c r="N80" s="12">
        <f>(IF(AND($G80="Frontend",OR($H80="Mobile Hybrid", $H80="Responsive")), VLOOKUP($F80,Effort_Estimate_Guidelines,VLOOKUP($H80,FormFactorGuidelines,3,FALSE),FALSE), "")) - $AA80</f>
        <v>0</v>
      </c>
      <c r="O80" s="14"/>
      <c r="P80" s="12"/>
      <c r="Q80" s="14"/>
      <c r="R80" s="14"/>
      <c r="S80" s="14"/>
      <c r="T80" s="12">
        <f t="shared" si="1"/>
        <v>5.023</v>
      </c>
      <c r="U80" s="12">
        <f>(IF(AND($G80="Frontend",OR($H80="Responsive", $H80="Web")), VLOOKUP($F80,Effort_Estimate_Guidelines,VLOOKUP($H80,FormFactorGuidelines,4,FALSE),FALSE), "")) - $AB80</f>
        <v>0</v>
      </c>
      <c r="V80" s="12">
        <f t="shared" si="2"/>
        <v>30.138</v>
      </c>
      <c r="W80" s="15"/>
      <c r="X80" s="12"/>
      <c r="Y80" s="12"/>
      <c r="Z80" s="13">
        <v>-8.0</v>
      </c>
      <c r="AA80" s="12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</row>
    <row r="81">
      <c r="A81" s="5"/>
      <c r="B81" s="47" t="s">
        <v>142</v>
      </c>
      <c r="C81" s="47" t="s">
        <v>146</v>
      </c>
      <c r="D81" s="5"/>
      <c r="E81" s="42">
        <v>0.0</v>
      </c>
      <c r="F81" s="8" t="s">
        <v>98</v>
      </c>
      <c r="G81" s="48" t="s">
        <v>144</v>
      </c>
      <c r="H81" s="10" t="s">
        <v>32</v>
      </c>
      <c r="I81" s="11" t="s">
        <v>33</v>
      </c>
      <c r="J81" s="12"/>
      <c r="K81" s="12">
        <f>(IF(AND($G81="Frontend",OR($H81="Responsive", $H81="Web")), VLOOKUP($F81,Effort_Estimate_Guidelines,VLOOKUP($H81,FormFactorGuidelines,3,FALSE),FALSE), "")) - $Y81</f>
        <v>0</v>
      </c>
      <c r="L81" s="12">
        <f>(IF(OR($G81="Backend"), VLOOKUP($F81,Effort_Estimate_Guidelines,2,FALSE), "")) - $Z81</f>
        <v>61.74</v>
      </c>
      <c r="M81" s="14"/>
      <c r="N81" s="12">
        <f>(IF(AND($G81="Frontend",OR($H81="Mobile Hybrid", $H81="Responsive")), VLOOKUP($F81,Effort_Estimate_Guidelines,VLOOKUP($H81,FormFactorGuidelines,3,FALSE),FALSE), "")) - $AA81</f>
        <v>0</v>
      </c>
      <c r="O81" s="14"/>
      <c r="P81" s="12"/>
      <c r="Q81" s="14"/>
      <c r="R81" s="14"/>
      <c r="S81" s="14"/>
      <c r="T81" s="12">
        <f t="shared" si="1"/>
        <v>12.348</v>
      </c>
      <c r="U81" s="12">
        <f>(IF(AND($G81="Frontend",OR($H81="Responsive", $H81="Web")), VLOOKUP($F81,Effort_Estimate_Guidelines,VLOOKUP($H81,FormFactorGuidelines,4,FALSE),FALSE), "")) - $AB81</f>
        <v>0</v>
      </c>
      <c r="V81" s="12">
        <f t="shared" si="2"/>
        <v>74.088</v>
      </c>
      <c r="W81" s="15"/>
      <c r="X81" s="12"/>
      <c r="Y81" s="12"/>
      <c r="Z81" s="12"/>
      <c r="AA81" s="12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</row>
    <row r="82">
      <c r="A82" s="5"/>
      <c r="B82" s="47" t="s">
        <v>142</v>
      </c>
      <c r="C82" s="47" t="s">
        <v>146</v>
      </c>
      <c r="D82" s="5"/>
      <c r="E82" s="42">
        <v>0.0</v>
      </c>
      <c r="F82" s="8" t="s">
        <v>30</v>
      </c>
      <c r="G82" s="48" t="s">
        <v>144</v>
      </c>
      <c r="H82" s="10" t="s">
        <v>32</v>
      </c>
      <c r="I82" s="11" t="s">
        <v>35</v>
      </c>
      <c r="J82" s="12"/>
      <c r="K82" s="12">
        <f>(IF(AND($G82="Frontend",OR($H82="Responsive", $H82="Web")), VLOOKUP($F82,Effort_Estimate_Guidelines,VLOOKUP($H82,FormFactorGuidelines,3,FALSE),FALSE), "")) - $Y82</f>
        <v>0</v>
      </c>
      <c r="L82" s="12">
        <f>(IF(OR($G82="Backend"), VLOOKUP($F82,Effort_Estimate_Guidelines,2,FALSE), "")) - $Z82</f>
        <v>33.115</v>
      </c>
      <c r="M82" s="14"/>
      <c r="N82" s="12">
        <f>(IF(AND($G82="Frontend",OR($H82="Mobile Hybrid", $H82="Responsive")), VLOOKUP($F82,Effort_Estimate_Guidelines,VLOOKUP($H82,FormFactorGuidelines,3,FALSE),FALSE), "")) - $AA82</f>
        <v>0</v>
      </c>
      <c r="O82" s="14"/>
      <c r="P82" s="12"/>
      <c r="Q82" s="14"/>
      <c r="R82" s="14"/>
      <c r="S82" s="14"/>
      <c r="T82" s="12">
        <f t="shared" si="1"/>
        <v>6.623</v>
      </c>
      <c r="U82" s="12">
        <f>(IF(AND($G82="Frontend",OR($H82="Responsive", $H82="Web")), VLOOKUP($F82,Effort_Estimate_Guidelines,VLOOKUP($H82,FormFactorGuidelines,4,FALSE),FALSE), "")) - $AB82</f>
        <v>0</v>
      </c>
      <c r="V82" s="12">
        <f t="shared" si="2"/>
        <v>39.738</v>
      </c>
      <c r="W82" s="15"/>
      <c r="X82" s="12"/>
      <c r="Y82" s="12"/>
      <c r="Z82" s="13">
        <v>-16.0</v>
      </c>
      <c r="AA82" s="12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</row>
    <row r="83">
      <c r="A83" s="5"/>
      <c r="B83" s="47" t="s">
        <v>142</v>
      </c>
      <c r="C83" s="6" t="s">
        <v>147</v>
      </c>
      <c r="D83" s="16" t="s">
        <v>148</v>
      </c>
      <c r="E83" s="42">
        <v>0.0</v>
      </c>
      <c r="F83" s="8" t="s">
        <v>98</v>
      </c>
      <c r="G83" s="48" t="s">
        <v>144</v>
      </c>
      <c r="H83" s="10" t="s">
        <v>32</v>
      </c>
      <c r="I83" s="11" t="s">
        <v>33</v>
      </c>
      <c r="J83" s="12"/>
      <c r="K83" s="12">
        <f>(IF(AND($G83="Frontend",OR($H83="Responsive", $H83="Web")), VLOOKUP($F83,Effort_Estimate_Guidelines,VLOOKUP($H83,FormFactorGuidelines,3,FALSE),FALSE), "")) - $Y83</f>
        <v>0</v>
      </c>
      <c r="L83" s="12">
        <f>(IF(OR($G83="Backend"), VLOOKUP($F83,Effort_Estimate_Guidelines,2,FALSE), "")) - $Z83</f>
        <v>61.74</v>
      </c>
      <c r="M83" s="14"/>
      <c r="N83" s="12">
        <f>(IF(AND($G83="Frontend",OR($H83="Mobile Hybrid", $H83="Responsive")), VLOOKUP($F83,Effort_Estimate_Guidelines,VLOOKUP($H83,FormFactorGuidelines,3,FALSE),FALSE), "")) - $AA83</f>
        <v>0</v>
      </c>
      <c r="O83" s="14"/>
      <c r="P83" s="12"/>
      <c r="Q83" s="14"/>
      <c r="R83" s="14"/>
      <c r="S83" s="14"/>
      <c r="T83" s="12">
        <f t="shared" si="1"/>
        <v>12.348</v>
      </c>
      <c r="U83" s="12">
        <f>(IF(AND($G83="Frontend",OR($H83="Responsive", $H83="Web")), VLOOKUP($F83,Effort_Estimate_Guidelines,VLOOKUP($H83,FormFactorGuidelines,4,FALSE),FALSE), "")) - $AB83</f>
        <v>0</v>
      </c>
      <c r="V83" s="12">
        <f t="shared" si="2"/>
        <v>74.088</v>
      </c>
      <c r="W83" s="15"/>
      <c r="X83" s="12"/>
      <c r="Y83" s="12"/>
      <c r="Z83" s="12"/>
      <c r="AA83" s="12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</row>
    <row r="84">
      <c r="A84" s="5"/>
      <c r="B84" s="47" t="s">
        <v>142</v>
      </c>
      <c r="C84" s="6" t="s">
        <v>147</v>
      </c>
      <c r="D84" s="16" t="s">
        <v>148</v>
      </c>
      <c r="E84" s="42">
        <v>0.0</v>
      </c>
      <c r="F84" s="8" t="s">
        <v>30</v>
      </c>
      <c r="G84" s="48" t="s">
        <v>144</v>
      </c>
      <c r="H84" s="10" t="s">
        <v>32</v>
      </c>
      <c r="I84" s="11" t="s">
        <v>35</v>
      </c>
      <c r="J84" s="12"/>
      <c r="K84" s="12">
        <f>(IF(AND($G84="Frontend",OR($H84="Responsive", $H84="Web")), VLOOKUP($F84,Effort_Estimate_Guidelines,VLOOKUP($H84,FormFactorGuidelines,3,FALSE),FALSE), "")) - $Y84</f>
        <v>0</v>
      </c>
      <c r="L84" s="12">
        <f>(IF(OR($G84="Backend"), VLOOKUP($F84,Effort_Estimate_Guidelines,2,FALSE), "")) - $Z84</f>
        <v>33.115</v>
      </c>
      <c r="M84" s="14"/>
      <c r="N84" s="12">
        <f>(IF(AND($G84="Frontend",OR($H84="Mobile Hybrid", $H84="Responsive")), VLOOKUP($F84,Effort_Estimate_Guidelines,VLOOKUP($H84,FormFactorGuidelines,3,FALSE),FALSE), "")) - $AA84</f>
        <v>0</v>
      </c>
      <c r="O84" s="14"/>
      <c r="P84" s="12"/>
      <c r="Q84" s="14"/>
      <c r="R84" s="14"/>
      <c r="S84" s="14"/>
      <c r="T84" s="12">
        <f t="shared" si="1"/>
        <v>6.623</v>
      </c>
      <c r="U84" s="12">
        <f>(IF(AND($G84="Frontend",OR($H84="Responsive", $H84="Web")), VLOOKUP($F84,Effort_Estimate_Guidelines,VLOOKUP($H84,FormFactorGuidelines,4,FALSE),FALSE), "")) - $AB84</f>
        <v>0</v>
      </c>
      <c r="V84" s="12">
        <f t="shared" si="2"/>
        <v>39.738</v>
      </c>
      <c r="W84" s="15"/>
      <c r="X84" s="12"/>
      <c r="Y84" s="12"/>
      <c r="Z84" s="13">
        <v>-16.0</v>
      </c>
      <c r="AA84" s="12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>
      <c r="A85" s="5"/>
      <c r="B85" s="47" t="s">
        <v>142</v>
      </c>
      <c r="C85" s="47" t="s">
        <v>149</v>
      </c>
      <c r="D85" s="49" t="s">
        <v>150</v>
      </c>
      <c r="E85" s="42">
        <v>0.0</v>
      </c>
      <c r="F85" s="8" t="s">
        <v>141</v>
      </c>
      <c r="G85" s="48" t="s">
        <v>144</v>
      </c>
      <c r="H85" s="10" t="s">
        <v>32</v>
      </c>
      <c r="I85" s="11" t="s">
        <v>33</v>
      </c>
      <c r="J85" s="12"/>
      <c r="K85" s="12">
        <f>(IF(AND($G85="Frontend",OR($H85="Responsive", $H85="Web")), VLOOKUP($F85,Effort_Estimate_Guidelines,VLOOKUP($H85,FormFactorGuidelines,3,FALSE),FALSE), "")) - $Y85</f>
        <v>0</v>
      </c>
      <c r="L85" s="12">
        <f>(IF(OR($G85="Backend"), VLOOKUP($F85,Effort_Estimate_Guidelines,2,FALSE), "")) - $Z85</f>
        <v>97.44</v>
      </c>
      <c r="M85" s="14"/>
      <c r="N85" s="12">
        <f>(IF(AND($G85="Frontend",OR($H85="Mobile Hybrid", $H85="Responsive")), VLOOKUP($F85,Effort_Estimate_Guidelines,VLOOKUP($H85,FormFactorGuidelines,3,FALSE),FALSE), "")) - $AA85</f>
        <v>0</v>
      </c>
      <c r="O85" s="14"/>
      <c r="P85" s="12"/>
      <c r="Q85" s="14"/>
      <c r="R85" s="14"/>
      <c r="S85" s="14"/>
      <c r="T85" s="12">
        <f t="shared" si="1"/>
        <v>19.488</v>
      </c>
      <c r="U85" s="12">
        <f>(IF(AND($G85="Frontend",OR($H85="Responsive", $H85="Web")), VLOOKUP($F85,Effort_Estimate_Guidelines,VLOOKUP($H85,FormFactorGuidelines,4,FALSE),FALSE), "")) - $AB85</f>
        <v>0</v>
      </c>
      <c r="V85" s="12">
        <f t="shared" si="2"/>
        <v>116.928</v>
      </c>
      <c r="W85" s="15"/>
      <c r="X85" s="12"/>
      <c r="Y85" s="12"/>
      <c r="Z85" s="12"/>
      <c r="AA85" s="12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>
      <c r="A86" s="5"/>
      <c r="B86" s="47" t="s">
        <v>142</v>
      </c>
      <c r="C86" s="47" t="s">
        <v>149</v>
      </c>
      <c r="D86" s="49" t="s">
        <v>150</v>
      </c>
      <c r="E86" s="42">
        <v>0.0</v>
      </c>
      <c r="F86" s="8" t="s">
        <v>98</v>
      </c>
      <c r="G86" s="48" t="s">
        <v>144</v>
      </c>
      <c r="H86" s="10" t="s">
        <v>32</v>
      </c>
      <c r="I86" s="11" t="s">
        <v>35</v>
      </c>
      <c r="J86" s="12"/>
      <c r="K86" s="12">
        <f>(IF(AND($G86="Frontend",OR($H86="Responsive", $H86="Web")), VLOOKUP($F86,Effort_Estimate_Guidelines,VLOOKUP($H86,FormFactorGuidelines,3,FALSE),FALSE), "")) - $Y86</f>
        <v>0</v>
      </c>
      <c r="L86" s="12">
        <f>(IF(OR($G86="Backend"), VLOOKUP($F86,Effort_Estimate_Guidelines,2,FALSE), "")) - $Z86</f>
        <v>61.74</v>
      </c>
      <c r="M86" s="14"/>
      <c r="N86" s="12">
        <f>(IF(AND($G86="Frontend",OR($H86="Mobile Hybrid", $H86="Responsive")), VLOOKUP($F86,Effort_Estimate_Guidelines,VLOOKUP($H86,FormFactorGuidelines,3,FALSE),FALSE), "")) - $AA86</f>
        <v>0</v>
      </c>
      <c r="O86" s="14"/>
      <c r="P86" s="12"/>
      <c r="Q86" s="14"/>
      <c r="R86" s="14"/>
      <c r="S86" s="14"/>
      <c r="T86" s="12">
        <f t="shared" si="1"/>
        <v>12.348</v>
      </c>
      <c r="U86" s="12">
        <f>(IF(AND($G86="Frontend",OR($H86="Responsive", $H86="Web")), VLOOKUP($F86,Effort_Estimate_Guidelines,VLOOKUP($H86,FormFactorGuidelines,4,FALSE),FALSE), "")) - $AB86</f>
        <v>0</v>
      </c>
      <c r="V86" s="12">
        <f t="shared" si="2"/>
        <v>74.088</v>
      </c>
      <c r="W86" s="15"/>
      <c r="X86" s="12"/>
      <c r="Y86" s="12"/>
      <c r="Z86" s="12"/>
      <c r="AA86" s="12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</row>
    <row r="87">
      <c r="A87" s="5"/>
      <c r="B87" s="47" t="s">
        <v>142</v>
      </c>
      <c r="C87" s="47" t="s">
        <v>151</v>
      </c>
      <c r="D87" s="49" t="s">
        <v>152</v>
      </c>
      <c r="E87" s="42">
        <v>0.0</v>
      </c>
      <c r="F87" s="8" t="s">
        <v>98</v>
      </c>
      <c r="G87" s="48" t="s">
        <v>144</v>
      </c>
      <c r="H87" s="10" t="s">
        <v>32</v>
      </c>
      <c r="I87" s="11" t="s">
        <v>38</v>
      </c>
      <c r="J87" s="12"/>
      <c r="K87" s="12">
        <f>(IF(AND($G87="Frontend",OR($H87="Responsive", $H87="Web")), VLOOKUP($F87,Effort_Estimate_Guidelines,VLOOKUP($H87,FormFactorGuidelines,3,FALSE),FALSE), "")) - $Y87</f>
        <v>0</v>
      </c>
      <c r="L87" s="12">
        <f>(IF(OR($G87="Backend"), VLOOKUP($F87,Effort_Estimate_Guidelines,2,FALSE), "")) - $Z87</f>
        <v>61.74</v>
      </c>
      <c r="M87" s="17">
        <v>40.0</v>
      </c>
      <c r="N87" s="12">
        <f>(IF(AND($G87="Frontend",OR($H87="Mobile Hybrid", $H87="Responsive")), VLOOKUP($F87,Effort_Estimate_Guidelines,VLOOKUP($H87,FormFactorGuidelines,3,FALSE),FALSE), "")) - $AA87</f>
        <v>0</v>
      </c>
      <c r="O87" s="14"/>
      <c r="P87" s="12"/>
      <c r="Q87" s="14"/>
      <c r="R87" s="14"/>
      <c r="S87" s="14"/>
      <c r="T87" s="12">
        <f t="shared" si="1"/>
        <v>12.348</v>
      </c>
      <c r="U87" s="12">
        <f>(IF(AND($G87="Frontend",OR($H87="Responsive", $H87="Web")), VLOOKUP($F87,Effort_Estimate_Guidelines,VLOOKUP($H87,FormFactorGuidelines,4,FALSE),FALSE), "")) - $AB87</f>
        <v>0</v>
      </c>
      <c r="V87" s="12">
        <f t="shared" si="2"/>
        <v>114.088</v>
      </c>
      <c r="W87" s="15"/>
      <c r="X87" s="12"/>
      <c r="Y87" s="12"/>
      <c r="Z87" s="12"/>
      <c r="AA87" s="12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</row>
    <row r="88">
      <c r="A88" s="5"/>
      <c r="B88" s="47" t="s">
        <v>142</v>
      </c>
      <c r="C88" s="49" t="s">
        <v>153</v>
      </c>
      <c r="D88" s="5"/>
      <c r="E88" s="42">
        <v>0.0</v>
      </c>
      <c r="F88" s="8" t="s">
        <v>98</v>
      </c>
      <c r="G88" s="48" t="s">
        <v>144</v>
      </c>
      <c r="H88" s="10" t="s">
        <v>32</v>
      </c>
      <c r="I88" s="11" t="s">
        <v>33</v>
      </c>
      <c r="J88" s="12"/>
      <c r="K88" s="12">
        <f>(IF(AND($G88="Frontend",OR($H88="Responsive", $H88="Web")), VLOOKUP($F88,Effort_Estimate_Guidelines,VLOOKUP($H88,FormFactorGuidelines,3,FALSE),FALSE), "")) - $Y88</f>
        <v>0</v>
      </c>
      <c r="L88" s="12">
        <f>(IF(OR($G88="Backend"), VLOOKUP($F88,Effort_Estimate_Guidelines,2,FALSE), "")) - $Z88</f>
        <v>61.74</v>
      </c>
      <c r="M88" s="14"/>
      <c r="N88" s="12">
        <f>(IF(AND($G88="Frontend",OR($H88="Mobile Hybrid", $H88="Responsive")), VLOOKUP($F88,Effort_Estimate_Guidelines,VLOOKUP($H88,FormFactorGuidelines,3,FALSE),FALSE), "")) - $AA88</f>
        <v>0</v>
      </c>
      <c r="O88" s="14"/>
      <c r="P88" s="12"/>
      <c r="Q88" s="14"/>
      <c r="R88" s="14"/>
      <c r="S88" s="14"/>
      <c r="T88" s="12">
        <f t="shared" si="1"/>
        <v>12.348</v>
      </c>
      <c r="U88" s="12">
        <f>(IF(AND($G88="Frontend",OR($H88="Responsive", $H88="Web")), VLOOKUP($F88,Effort_Estimate_Guidelines,VLOOKUP($H88,FormFactorGuidelines,4,FALSE),FALSE), "")) - $AB88</f>
        <v>0</v>
      </c>
      <c r="V88" s="12">
        <f t="shared" si="2"/>
        <v>74.088</v>
      </c>
      <c r="W88" s="15"/>
      <c r="X88" s="12"/>
      <c r="Y88" s="12"/>
      <c r="Z88" s="12"/>
      <c r="AA88" s="12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</row>
    <row r="89">
      <c r="A89" s="5"/>
      <c r="B89" s="47" t="s">
        <v>142</v>
      </c>
      <c r="C89" s="47" t="s">
        <v>154</v>
      </c>
      <c r="D89" s="5"/>
      <c r="E89" s="42">
        <v>0.0</v>
      </c>
      <c r="F89" s="8" t="s">
        <v>98</v>
      </c>
      <c r="G89" s="48" t="s">
        <v>144</v>
      </c>
      <c r="H89" s="10" t="s">
        <v>32</v>
      </c>
      <c r="I89" s="11" t="s">
        <v>35</v>
      </c>
      <c r="J89" s="12"/>
      <c r="K89" s="12">
        <f>(IF(AND($G89="Frontend",OR($H89="Responsive", $H89="Web")), VLOOKUP($F89,Effort_Estimate_Guidelines,VLOOKUP($H89,FormFactorGuidelines,3,FALSE),FALSE), "")) - $Y89</f>
        <v>0</v>
      </c>
      <c r="L89" s="12">
        <f>(IF(OR($G89="Backend"), VLOOKUP($F89,Effort_Estimate_Guidelines,2,FALSE), "")) - $Z89</f>
        <v>61.74</v>
      </c>
      <c r="M89" s="14"/>
      <c r="N89" s="12">
        <f>(IF(AND($G89="Frontend",OR($H89="Mobile Hybrid", $H89="Responsive")), VLOOKUP($F89,Effort_Estimate_Guidelines,VLOOKUP($H89,FormFactorGuidelines,3,FALSE),FALSE), "")) - $AA89</f>
        <v>0</v>
      </c>
      <c r="O89" s="14"/>
      <c r="P89" s="12"/>
      <c r="Q89" s="14"/>
      <c r="R89" s="14"/>
      <c r="S89" s="14"/>
      <c r="T89" s="12">
        <f t="shared" si="1"/>
        <v>12.348</v>
      </c>
      <c r="U89" s="12">
        <f>(IF(AND($G89="Frontend",OR($H89="Responsive", $H89="Web")), VLOOKUP($F89,Effort_Estimate_Guidelines,VLOOKUP($H89,FormFactorGuidelines,4,FALSE),FALSE), "")) - $AB89</f>
        <v>0</v>
      </c>
      <c r="V89" s="12">
        <f t="shared" si="2"/>
        <v>74.088</v>
      </c>
      <c r="W89" s="15"/>
      <c r="X89" s="12"/>
      <c r="Y89" s="12"/>
      <c r="Z89" s="12"/>
      <c r="AA89" s="12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</row>
    <row r="90">
      <c r="A90" s="5"/>
      <c r="B90" s="47" t="s">
        <v>142</v>
      </c>
      <c r="C90" s="47" t="s">
        <v>155</v>
      </c>
      <c r="D90" s="5"/>
      <c r="E90" s="42">
        <v>0.0</v>
      </c>
      <c r="F90" s="8" t="s">
        <v>141</v>
      </c>
      <c r="G90" s="48" t="s">
        <v>144</v>
      </c>
      <c r="H90" s="10" t="s">
        <v>32</v>
      </c>
      <c r="I90" s="11" t="s">
        <v>38</v>
      </c>
      <c r="J90" s="12"/>
      <c r="K90" s="12">
        <f>(IF(AND($G90="Frontend",OR($H90="Responsive", $H90="Web")), VLOOKUP($F90,Effort_Estimate_Guidelines,VLOOKUP($H90,FormFactorGuidelines,3,FALSE),FALSE), "")) - $Y90</f>
        <v>0</v>
      </c>
      <c r="L90" s="12">
        <f>(IF(OR($G90="Backend"), VLOOKUP($F90,Effort_Estimate_Guidelines,2,FALSE), "")) - $Z90</f>
        <v>97.44</v>
      </c>
      <c r="M90" s="14"/>
      <c r="N90" s="12">
        <f>(IF(AND($G90="Frontend",OR($H90="Mobile Hybrid", $H90="Responsive")), VLOOKUP($F90,Effort_Estimate_Guidelines,VLOOKUP($H90,FormFactorGuidelines,3,FALSE),FALSE), "")) - $AA90</f>
        <v>0</v>
      </c>
      <c r="O90" s="14"/>
      <c r="P90" s="12"/>
      <c r="Q90" s="14"/>
      <c r="R90" s="14"/>
      <c r="S90" s="14"/>
      <c r="T90" s="12">
        <f t="shared" si="1"/>
        <v>19.488</v>
      </c>
      <c r="U90" s="12">
        <f>(IF(AND($G90="Frontend",OR($H90="Responsive", $H90="Web")), VLOOKUP($F90,Effort_Estimate_Guidelines,VLOOKUP($H90,FormFactorGuidelines,4,FALSE),FALSE), "")) - $AB90</f>
        <v>0</v>
      </c>
      <c r="V90" s="12">
        <f t="shared" si="2"/>
        <v>116.928</v>
      </c>
      <c r="W90" s="15"/>
      <c r="X90" s="12"/>
      <c r="Y90" s="12"/>
      <c r="Z90" s="12"/>
      <c r="AA90" s="12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</row>
    <row r="91">
      <c r="A91" s="5"/>
      <c r="B91" s="47" t="s">
        <v>142</v>
      </c>
      <c r="C91" s="47" t="s">
        <v>156</v>
      </c>
      <c r="D91" s="49" t="s">
        <v>157</v>
      </c>
      <c r="E91" s="42">
        <v>0.0</v>
      </c>
      <c r="F91" s="8" t="s">
        <v>158</v>
      </c>
      <c r="G91" s="48" t="s">
        <v>144</v>
      </c>
      <c r="H91" s="10" t="s">
        <v>32</v>
      </c>
      <c r="I91" s="11" t="s">
        <v>35</v>
      </c>
      <c r="J91" s="12"/>
      <c r="K91" s="12">
        <f>(IF(AND($G91="Frontend",OR($H91="Responsive", $H91="Web")), VLOOKUP($F91,Effort_Estimate_Guidelines,VLOOKUP($H91,FormFactorGuidelines,3,FALSE),FALSE), "")) - $Y91</f>
        <v>0</v>
      </c>
      <c r="L91" s="12">
        <f>(IF(OR($G91="Backend"), VLOOKUP($F91,Effort_Estimate_Guidelines,2,FALSE), "")) - $Z91</f>
        <v>159.6</v>
      </c>
      <c r="M91" s="14"/>
      <c r="N91" s="12">
        <f>(IF(AND($G91="Frontend",OR($H91="Mobile Hybrid", $H91="Responsive")), VLOOKUP($F91,Effort_Estimate_Guidelines,VLOOKUP($H91,FormFactorGuidelines,3,FALSE),FALSE), "")) - $AA91</f>
        <v>0</v>
      </c>
      <c r="O91" s="14"/>
      <c r="P91" s="12"/>
      <c r="Q91" s="14"/>
      <c r="R91" s="14"/>
      <c r="S91" s="14"/>
      <c r="T91" s="12">
        <f t="shared" si="1"/>
        <v>31.92</v>
      </c>
      <c r="U91" s="12">
        <f>(IF(AND($G91="Frontend",OR($H91="Responsive", $H91="Web")), VLOOKUP($F91,Effort_Estimate_Guidelines,VLOOKUP($H91,FormFactorGuidelines,4,FALSE),FALSE), "")) - $AB91</f>
        <v>0</v>
      </c>
      <c r="V91" s="12">
        <f t="shared" si="2"/>
        <v>191.52</v>
      </c>
      <c r="W91" s="15"/>
      <c r="X91" s="12"/>
      <c r="Y91" s="12"/>
      <c r="Z91" s="12"/>
      <c r="AA91" s="12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</row>
    <row r="92">
      <c r="A92" s="5"/>
      <c r="B92" s="47" t="s">
        <v>142</v>
      </c>
      <c r="C92" s="47" t="s">
        <v>118</v>
      </c>
      <c r="D92" s="5"/>
      <c r="E92" s="42">
        <v>0.0</v>
      </c>
      <c r="F92" s="8" t="s">
        <v>98</v>
      </c>
      <c r="G92" s="48" t="s">
        <v>144</v>
      </c>
      <c r="H92" s="10" t="s">
        <v>32</v>
      </c>
      <c r="I92" s="11" t="s">
        <v>33</v>
      </c>
      <c r="J92" s="12"/>
      <c r="K92" s="12">
        <f>(IF(AND($G92="Frontend",OR($H92="Responsive", $H92="Web")), VLOOKUP($F92,Effort_Estimate_Guidelines,VLOOKUP($H92,FormFactorGuidelines,3,FALSE),FALSE), "")) - $Y92</f>
        <v>0</v>
      </c>
      <c r="L92" s="12">
        <f>(IF(OR($G92="Backend"), VLOOKUP($F92,Effort_Estimate_Guidelines,2,FALSE), "")) - $Z92</f>
        <v>61.74</v>
      </c>
      <c r="M92" s="14"/>
      <c r="N92" s="12">
        <f>(IF(AND($G92="Frontend",OR($H92="Mobile Hybrid", $H92="Responsive")), VLOOKUP($F92,Effort_Estimate_Guidelines,VLOOKUP($H92,FormFactorGuidelines,3,FALSE),FALSE), "")) - $AA92</f>
        <v>0</v>
      </c>
      <c r="O92" s="14"/>
      <c r="P92" s="12"/>
      <c r="Q92" s="14"/>
      <c r="R92" s="14"/>
      <c r="S92" s="14"/>
      <c r="T92" s="12">
        <f t="shared" si="1"/>
        <v>12.348</v>
      </c>
      <c r="U92" s="12">
        <f>(IF(AND($G92="Frontend",OR($H92="Responsive", $H92="Web")), VLOOKUP($F92,Effort_Estimate_Guidelines,VLOOKUP($H92,FormFactorGuidelines,4,FALSE),FALSE), "")) - $AB92</f>
        <v>0</v>
      </c>
      <c r="V92" s="12">
        <f t="shared" si="2"/>
        <v>74.088</v>
      </c>
      <c r="W92" s="15"/>
      <c r="X92" s="12"/>
      <c r="Y92" s="12"/>
      <c r="Z92" s="12"/>
      <c r="AA92" s="12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</row>
    <row r="93">
      <c r="A93" s="5"/>
      <c r="B93" s="50" t="s">
        <v>136</v>
      </c>
      <c r="C93" s="47" t="s">
        <v>159</v>
      </c>
      <c r="D93" s="51" t="s">
        <v>160</v>
      </c>
      <c r="E93" s="42">
        <v>0.0</v>
      </c>
      <c r="F93" s="8" t="s">
        <v>141</v>
      </c>
      <c r="G93" s="48" t="s">
        <v>144</v>
      </c>
      <c r="H93" s="10" t="s">
        <v>32</v>
      </c>
      <c r="I93" s="11" t="s">
        <v>33</v>
      </c>
      <c r="J93" s="12"/>
      <c r="K93" s="12">
        <f>(IF(AND($G93="Frontend",OR($H93="Responsive", $H93="Web")), VLOOKUP($F93,Effort_Estimate_Guidelines,VLOOKUP($H93,FormFactorGuidelines,3,FALSE),FALSE), "")) - $Y93</f>
        <v>0</v>
      </c>
      <c r="L93" s="12">
        <f>(IF(OR($G93="Backend"), VLOOKUP($F93,Effort_Estimate_Guidelines,2,FALSE), "")) - $Z93</f>
        <v>97.44</v>
      </c>
      <c r="M93" s="14"/>
      <c r="N93" s="12">
        <f>(IF(AND($G93="Frontend",OR($H93="Mobile Hybrid", $H93="Responsive")), VLOOKUP($F93,Effort_Estimate_Guidelines,VLOOKUP($H93,FormFactorGuidelines,3,FALSE),FALSE), "")) - $AA93</f>
        <v>0</v>
      </c>
      <c r="O93" s="14"/>
      <c r="P93" s="12"/>
      <c r="Q93" s="14"/>
      <c r="R93" s="14"/>
      <c r="S93" s="14"/>
      <c r="T93" s="12">
        <f t="shared" si="1"/>
        <v>19.488</v>
      </c>
      <c r="U93" s="12">
        <f>(IF(AND($G93="Frontend",OR($H93="Responsive", $H93="Web")), VLOOKUP($F93,Effort_Estimate_Guidelines,VLOOKUP($H93,FormFactorGuidelines,4,FALSE),FALSE), "")) - $AB93</f>
        <v>0</v>
      </c>
      <c r="V93" s="12">
        <f t="shared" si="2"/>
        <v>116.928</v>
      </c>
      <c r="W93" s="15"/>
      <c r="X93" s="12"/>
      <c r="Y93" s="12"/>
      <c r="Z93" s="12"/>
      <c r="AA93" s="12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</row>
    <row r="94">
      <c r="A94" s="5"/>
      <c r="B94" s="50" t="s">
        <v>136</v>
      </c>
      <c r="C94" s="47" t="s">
        <v>161</v>
      </c>
      <c r="E94" s="42">
        <v>0.0</v>
      </c>
      <c r="F94" s="8" t="s">
        <v>141</v>
      </c>
      <c r="G94" s="48" t="s">
        <v>144</v>
      </c>
      <c r="H94" s="10" t="s">
        <v>32</v>
      </c>
      <c r="I94" s="11" t="s">
        <v>35</v>
      </c>
      <c r="J94" s="12"/>
      <c r="K94" s="12">
        <f>(IF(AND($G94="Frontend",OR($H94="Responsive", $H94="Web")), VLOOKUP($F94,Effort_Estimate_Guidelines,VLOOKUP($H94,FormFactorGuidelines,3,FALSE),FALSE), "")) - $Y94</f>
        <v>0</v>
      </c>
      <c r="L94" s="12">
        <f>(IF(OR($G94="Backend"), VLOOKUP($F94,Effort_Estimate_Guidelines,2,FALSE), "")) - $Z94</f>
        <v>97.44</v>
      </c>
      <c r="M94" s="14"/>
      <c r="N94" s="12">
        <f>(IF(AND($G94="Frontend",OR($H94="Mobile Hybrid", $H94="Responsive")), VLOOKUP($F94,Effort_Estimate_Guidelines,VLOOKUP($H94,FormFactorGuidelines,3,FALSE),FALSE), "")) - $AA94</f>
        <v>0</v>
      </c>
      <c r="O94" s="14"/>
      <c r="P94" s="12"/>
      <c r="Q94" s="14"/>
      <c r="R94" s="14"/>
      <c r="S94" s="14"/>
      <c r="T94" s="12">
        <f t="shared" si="1"/>
        <v>19.488</v>
      </c>
      <c r="U94" s="12">
        <f>(IF(AND($G94="Frontend",OR($H94="Responsive", $H94="Web")), VLOOKUP($F94,Effort_Estimate_Guidelines,VLOOKUP($H94,FormFactorGuidelines,4,FALSE),FALSE), "")) - $AB94</f>
        <v>0</v>
      </c>
      <c r="V94" s="12">
        <f t="shared" si="2"/>
        <v>116.928</v>
      </c>
      <c r="W94" s="15"/>
      <c r="X94" s="12"/>
      <c r="Y94" s="12"/>
      <c r="Z94" s="12"/>
      <c r="AA94" s="12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</row>
    <row r="95">
      <c r="A95" s="5"/>
      <c r="B95" s="50" t="s">
        <v>136</v>
      </c>
      <c r="C95" s="47" t="s">
        <v>162</v>
      </c>
      <c r="E95" s="42">
        <v>0.0</v>
      </c>
      <c r="F95" s="8" t="s">
        <v>98</v>
      </c>
      <c r="G95" s="48" t="s">
        <v>144</v>
      </c>
      <c r="H95" s="10" t="s">
        <v>32</v>
      </c>
      <c r="I95" s="11" t="s">
        <v>33</v>
      </c>
      <c r="J95" s="12"/>
      <c r="K95" s="12">
        <f>(IF(AND($G95="Frontend",OR($H95="Responsive", $H95="Web")), VLOOKUP($F95,Effort_Estimate_Guidelines,VLOOKUP($H95,FormFactorGuidelines,3,FALSE),FALSE), "")) - $Y95</f>
        <v>0</v>
      </c>
      <c r="L95" s="12">
        <f>(IF(OR($G95="Backend"), VLOOKUP($F95,Effort_Estimate_Guidelines,2,FALSE), "")) - $Z95</f>
        <v>61.74</v>
      </c>
      <c r="M95" s="14"/>
      <c r="N95" s="12">
        <f>(IF(AND($G95="Frontend",OR($H95="Mobile Hybrid", $H95="Responsive")), VLOOKUP($F95,Effort_Estimate_Guidelines,VLOOKUP($H95,FormFactorGuidelines,3,FALSE),FALSE), "")) - $AA95</f>
        <v>0</v>
      </c>
      <c r="O95" s="14"/>
      <c r="P95" s="12"/>
      <c r="Q95" s="14"/>
      <c r="R95" s="14"/>
      <c r="S95" s="14"/>
      <c r="T95" s="12">
        <f t="shared" si="1"/>
        <v>12.348</v>
      </c>
      <c r="U95" s="12">
        <f>(IF(AND($G95="Frontend",OR($H95="Responsive", $H95="Web")), VLOOKUP($F95,Effort_Estimate_Guidelines,VLOOKUP($H95,FormFactorGuidelines,4,FALSE),FALSE), "")) - $AB95</f>
        <v>0</v>
      </c>
      <c r="V95" s="12">
        <f t="shared" si="2"/>
        <v>74.088</v>
      </c>
      <c r="W95" s="15"/>
      <c r="X95" s="12"/>
      <c r="Y95" s="12"/>
      <c r="Z95" s="12"/>
      <c r="AA95" s="12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</row>
    <row r="96">
      <c r="A96" s="5"/>
      <c r="B96" s="50" t="s">
        <v>136</v>
      </c>
      <c r="C96" s="47" t="s">
        <v>163</v>
      </c>
      <c r="D96" s="52"/>
      <c r="E96" s="42">
        <v>0.0</v>
      </c>
      <c r="F96" s="8" t="s">
        <v>141</v>
      </c>
      <c r="G96" s="48" t="s">
        <v>144</v>
      </c>
      <c r="H96" s="10" t="s">
        <v>32</v>
      </c>
      <c r="I96" s="11" t="s">
        <v>35</v>
      </c>
      <c r="J96" s="12"/>
      <c r="K96" s="12">
        <f>(IF(AND($G96="Frontend",OR($H96="Responsive", $H96="Web")), VLOOKUP($F96,Effort_Estimate_Guidelines,VLOOKUP($H96,FormFactorGuidelines,3,FALSE),FALSE), "")) - $Y96</f>
        <v>0</v>
      </c>
      <c r="L96" s="12">
        <f>(IF(OR($G96="Backend"), VLOOKUP($F96,Effort_Estimate_Guidelines,2,FALSE), "")) - $Z96</f>
        <v>97.44</v>
      </c>
      <c r="M96" s="14"/>
      <c r="N96" s="12">
        <f>(IF(AND($G96="Frontend",OR($H96="Mobile Hybrid", $H96="Responsive")), VLOOKUP($F96,Effort_Estimate_Guidelines,VLOOKUP($H96,FormFactorGuidelines,3,FALSE),FALSE), "")) - $AA96</f>
        <v>0</v>
      </c>
      <c r="O96" s="14"/>
      <c r="P96" s="12"/>
      <c r="Q96" s="14"/>
      <c r="R96" s="14"/>
      <c r="S96" s="14"/>
      <c r="T96" s="12">
        <f t="shared" si="1"/>
        <v>19.488</v>
      </c>
      <c r="U96" s="12">
        <f>(IF(AND($G96="Frontend",OR($H96="Responsive", $H96="Web")), VLOOKUP($F96,Effort_Estimate_Guidelines,VLOOKUP($H96,FormFactorGuidelines,4,FALSE),FALSE), "")) - $AB96</f>
        <v>0</v>
      </c>
      <c r="V96" s="12">
        <f t="shared" si="2"/>
        <v>116.928</v>
      </c>
      <c r="W96" s="15"/>
      <c r="X96" s="12"/>
      <c r="Y96" s="12"/>
      <c r="Z96" s="12"/>
      <c r="AA96" s="12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</row>
    <row r="97">
      <c r="A97" s="5"/>
      <c r="B97" s="50" t="s">
        <v>136</v>
      </c>
      <c r="C97" s="47" t="s">
        <v>164</v>
      </c>
      <c r="E97" s="42">
        <v>0.0</v>
      </c>
      <c r="F97" s="8" t="s">
        <v>98</v>
      </c>
      <c r="G97" s="48" t="s">
        <v>144</v>
      </c>
      <c r="H97" s="10" t="s">
        <v>32</v>
      </c>
      <c r="I97" s="11" t="s">
        <v>38</v>
      </c>
      <c r="J97" s="12"/>
      <c r="K97" s="12">
        <f>(IF(AND($G97="Frontend",OR($H97="Responsive", $H97="Web")), VLOOKUP($F97,Effort_Estimate_Guidelines,VLOOKUP($H97,FormFactorGuidelines,3,FALSE),FALSE), "")) - $Y97</f>
        <v>0</v>
      </c>
      <c r="L97" s="12">
        <f>(IF(OR($G97="Backend"), VLOOKUP($F97,Effort_Estimate_Guidelines,2,FALSE), "")) - $Z97</f>
        <v>61.74</v>
      </c>
      <c r="M97" s="14"/>
      <c r="N97" s="12">
        <f>(IF(AND($G97="Frontend",OR($H97="Mobile Hybrid", $H97="Responsive")), VLOOKUP($F97,Effort_Estimate_Guidelines,VLOOKUP($H97,FormFactorGuidelines,3,FALSE),FALSE), "")) - $AA97</f>
        <v>0</v>
      </c>
      <c r="O97" s="14"/>
      <c r="P97" s="12"/>
      <c r="Q97" s="14"/>
      <c r="R97" s="14"/>
      <c r="S97" s="14"/>
      <c r="T97" s="12">
        <f t="shared" si="1"/>
        <v>12.348</v>
      </c>
      <c r="U97" s="12">
        <f>(IF(AND($G97="Frontend",OR($H97="Responsive", $H97="Web")), VLOOKUP($F97,Effort_Estimate_Guidelines,VLOOKUP($H97,FormFactorGuidelines,4,FALSE),FALSE), "")) - $AB97</f>
        <v>0</v>
      </c>
      <c r="V97" s="12">
        <f t="shared" si="2"/>
        <v>74.088</v>
      </c>
      <c r="W97" s="15"/>
      <c r="X97" s="12"/>
      <c r="Y97" s="12"/>
      <c r="Z97" s="12"/>
      <c r="AA97" s="12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</row>
    <row r="98">
      <c r="A98" s="5"/>
      <c r="B98" s="50" t="s">
        <v>136</v>
      </c>
      <c r="C98" s="53" t="s">
        <v>165</v>
      </c>
      <c r="E98" s="42">
        <v>0.0</v>
      </c>
      <c r="F98" s="8" t="s">
        <v>98</v>
      </c>
      <c r="G98" s="48" t="s">
        <v>144</v>
      </c>
      <c r="H98" s="10" t="s">
        <v>32</v>
      </c>
      <c r="I98" s="11" t="s">
        <v>33</v>
      </c>
      <c r="J98" s="12"/>
      <c r="K98" s="12">
        <f>(IF(AND($G98="Frontend",OR($H98="Responsive", $H98="Web")), VLOOKUP($F98,Effort_Estimate_Guidelines,VLOOKUP($H98,FormFactorGuidelines,3,FALSE),FALSE), "")) - $Y98</f>
        <v>0</v>
      </c>
      <c r="L98" s="12">
        <f>(IF(OR($G98="Backend"), VLOOKUP($F98,Effort_Estimate_Guidelines,2,FALSE), "")) - $Z98</f>
        <v>61.74</v>
      </c>
      <c r="M98" s="14"/>
      <c r="N98" s="12">
        <f>(IF(AND($G98="Frontend",OR($H98="Mobile Hybrid", $H98="Responsive")), VLOOKUP($F98,Effort_Estimate_Guidelines,VLOOKUP($H98,FormFactorGuidelines,3,FALSE),FALSE), "")) - $AA98</f>
        <v>0</v>
      </c>
      <c r="O98" s="14"/>
      <c r="P98" s="12"/>
      <c r="Q98" s="14"/>
      <c r="R98" s="14"/>
      <c r="S98" s="14"/>
      <c r="T98" s="12">
        <f t="shared" si="1"/>
        <v>12.348</v>
      </c>
      <c r="U98" s="12">
        <f>(IF(AND($G98="Frontend",OR($H98="Responsive", $H98="Web")), VLOOKUP($F98,Effort_Estimate_Guidelines,VLOOKUP($H98,FormFactorGuidelines,4,FALSE),FALSE), "")) - $AB98</f>
        <v>0</v>
      </c>
      <c r="V98" s="12">
        <f t="shared" si="2"/>
        <v>74.088</v>
      </c>
      <c r="W98" s="15"/>
      <c r="X98" s="12"/>
      <c r="Y98" s="12"/>
      <c r="Z98" s="12"/>
      <c r="AA98" s="12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</row>
    <row r="99">
      <c r="A99" s="5"/>
      <c r="B99" s="50" t="s">
        <v>136</v>
      </c>
      <c r="C99" s="53" t="s">
        <v>166</v>
      </c>
      <c r="E99" s="42">
        <v>0.0</v>
      </c>
      <c r="F99" s="8" t="s">
        <v>30</v>
      </c>
      <c r="G99" s="48" t="s">
        <v>144</v>
      </c>
      <c r="H99" s="10" t="s">
        <v>32</v>
      </c>
      <c r="I99" s="11" t="s">
        <v>33</v>
      </c>
      <c r="J99" s="12"/>
      <c r="K99" s="12">
        <f>(IF(AND($G99="Frontend",OR($H99="Responsive", $H99="Web")), VLOOKUP($F99,Effort_Estimate_Guidelines,VLOOKUP($H99,FormFactorGuidelines,3,FALSE),FALSE), "")) - $Y99</f>
        <v>0</v>
      </c>
      <c r="L99" s="12">
        <f>(IF(OR($G99="Backend"), VLOOKUP($F99,Effort_Estimate_Guidelines,2,FALSE), "")) - $Z99</f>
        <v>17.115</v>
      </c>
      <c r="M99" s="14"/>
      <c r="N99" s="12">
        <f>(IF(AND($G99="Frontend",OR($H99="Mobile Hybrid", $H99="Responsive")), VLOOKUP($F99,Effort_Estimate_Guidelines,VLOOKUP($H99,FormFactorGuidelines,3,FALSE),FALSE), "")) - $AA99</f>
        <v>0</v>
      </c>
      <c r="O99" s="14"/>
      <c r="P99" s="12"/>
      <c r="Q99" s="14"/>
      <c r="R99" s="14"/>
      <c r="S99" s="14"/>
      <c r="T99" s="12">
        <f t="shared" si="1"/>
        <v>3.423</v>
      </c>
      <c r="U99" s="12">
        <f>(IF(AND($G99="Frontend",OR($H99="Responsive", $H99="Web")), VLOOKUP($F99,Effort_Estimate_Guidelines,VLOOKUP($H99,FormFactorGuidelines,4,FALSE),FALSE), "")) - $AB99</f>
        <v>0</v>
      </c>
      <c r="V99" s="12">
        <f t="shared" si="2"/>
        <v>20.538</v>
      </c>
      <c r="W99" s="15"/>
      <c r="X99" s="12"/>
      <c r="Y99" s="12"/>
      <c r="Z99" s="12"/>
      <c r="AA99" s="12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</row>
    <row r="100">
      <c r="A100" s="5"/>
      <c r="B100" s="50" t="s">
        <v>136</v>
      </c>
      <c r="C100" s="50" t="s">
        <v>167</v>
      </c>
      <c r="E100" s="42">
        <v>0.0</v>
      </c>
      <c r="F100" s="8" t="s">
        <v>30</v>
      </c>
      <c r="G100" s="48" t="s">
        <v>144</v>
      </c>
      <c r="H100" s="10" t="s">
        <v>32</v>
      </c>
      <c r="I100" s="11" t="s">
        <v>33</v>
      </c>
      <c r="J100" s="12"/>
      <c r="K100" s="12">
        <f>(IF(AND($G100="Frontend",OR($H100="Responsive", $H100="Web")), VLOOKUP($F100,Effort_Estimate_Guidelines,VLOOKUP($H100,FormFactorGuidelines,3,FALSE),FALSE), "")) - $Y100</f>
        <v>0</v>
      </c>
      <c r="L100" s="12">
        <f>(IF(OR($G100="Backend"), VLOOKUP($F100,Effort_Estimate_Guidelines,2,FALSE), "")) - $Z100</f>
        <v>17.115</v>
      </c>
      <c r="M100" s="14"/>
      <c r="N100" s="12">
        <f>(IF(AND($G100="Frontend",OR($H100="Mobile Hybrid", $H100="Responsive")), VLOOKUP($F100,Effort_Estimate_Guidelines,VLOOKUP($H100,FormFactorGuidelines,3,FALSE),FALSE), "")) - $AA100</f>
        <v>0</v>
      </c>
      <c r="O100" s="14"/>
      <c r="P100" s="12"/>
      <c r="Q100" s="14"/>
      <c r="R100" s="14"/>
      <c r="S100" s="14"/>
      <c r="T100" s="12">
        <f t="shared" si="1"/>
        <v>3.423</v>
      </c>
      <c r="U100" s="12">
        <f>(IF(AND($G100="Frontend",OR($H100="Responsive", $H100="Web")), VLOOKUP($F100,Effort_Estimate_Guidelines,VLOOKUP($H100,FormFactorGuidelines,4,FALSE),FALSE), "")) - $AB100</f>
        <v>0</v>
      </c>
      <c r="V100" s="12">
        <f t="shared" si="2"/>
        <v>20.538</v>
      </c>
      <c r="W100" s="15"/>
      <c r="X100" s="12"/>
      <c r="Y100" s="12"/>
      <c r="Z100" s="12"/>
      <c r="AA100" s="12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</row>
    <row r="101">
      <c r="A101" s="5"/>
      <c r="B101" s="50" t="s">
        <v>136</v>
      </c>
      <c r="C101" s="53" t="s">
        <v>168</v>
      </c>
      <c r="E101" s="42">
        <v>0.0</v>
      </c>
      <c r="F101" s="8" t="s">
        <v>30</v>
      </c>
      <c r="G101" s="48" t="s">
        <v>144</v>
      </c>
      <c r="H101" s="10" t="s">
        <v>32</v>
      </c>
      <c r="I101" s="11" t="s">
        <v>33</v>
      </c>
      <c r="J101" s="12"/>
      <c r="K101" s="12">
        <f>(IF(AND($G101="Frontend",OR($H101="Responsive", $H101="Web")), VLOOKUP($F101,Effort_Estimate_Guidelines,VLOOKUP($H101,FormFactorGuidelines,3,FALSE),FALSE), "")) - $Y101</f>
        <v>0</v>
      </c>
      <c r="L101" s="12">
        <f>(IF(OR($G101="Backend"), VLOOKUP($F101,Effort_Estimate_Guidelines,2,FALSE), "")) - $Z101</f>
        <v>17.115</v>
      </c>
      <c r="M101" s="14"/>
      <c r="N101" s="12">
        <f>(IF(AND($G101="Frontend",OR($H101="Mobile Hybrid", $H101="Responsive")), VLOOKUP($F101,Effort_Estimate_Guidelines,VLOOKUP($H101,FormFactorGuidelines,3,FALSE),FALSE), "")) - $AA101</f>
        <v>0</v>
      </c>
      <c r="O101" s="14"/>
      <c r="P101" s="12"/>
      <c r="Q101" s="14"/>
      <c r="R101" s="14"/>
      <c r="S101" s="14"/>
      <c r="T101" s="12">
        <f t="shared" si="1"/>
        <v>3.423</v>
      </c>
      <c r="U101" s="12">
        <f>(IF(AND($G101="Frontend",OR($H101="Responsive", $H101="Web")), VLOOKUP($F101,Effort_Estimate_Guidelines,VLOOKUP($H101,FormFactorGuidelines,4,FALSE),FALSE), "")) - $AB101</f>
        <v>0</v>
      </c>
      <c r="V101" s="12">
        <f t="shared" si="2"/>
        <v>20.538</v>
      </c>
      <c r="W101" s="15"/>
      <c r="X101" s="12"/>
      <c r="Y101" s="12"/>
      <c r="Z101" s="12"/>
      <c r="AA101" s="12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</row>
    <row r="102">
      <c r="A102" s="5"/>
      <c r="B102" s="50" t="s">
        <v>136</v>
      </c>
      <c r="C102" s="50" t="s">
        <v>169</v>
      </c>
      <c r="E102" s="42">
        <v>0.0</v>
      </c>
      <c r="F102" s="8" t="s">
        <v>30</v>
      </c>
      <c r="G102" s="48" t="s">
        <v>144</v>
      </c>
      <c r="H102" s="10" t="s">
        <v>32</v>
      </c>
      <c r="I102" s="11" t="s">
        <v>35</v>
      </c>
      <c r="J102" s="12"/>
      <c r="K102" s="12">
        <f>(IF(AND($G102="Frontend",OR($H102="Responsive", $H102="Web")), VLOOKUP($F102,Effort_Estimate_Guidelines,VLOOKUP($H102,FormFactorGuidelines,3,FALSE),FALSE), "")) - $Y102</f>
        <v>0</v>
      </c>
      <c r="L102" s="12">
        <f>(IF(OR($G102="Backend"), VLOOKUP($F102,Effort_Estimate_Guidelines,2,FALSE), "")) - $Z102</f>
        <v>17.115</v>
      </c>
      <c r="M102" s="14"/>
      <c r="N102" s="12">
        <f>(IF(AND($G102="Frontend",OR($H102="Mobile Hybrid", $H102="Responsive")), VLOOKUP($F102,Effort_Estimate_Guidelines,VLOOKUP($H102,FormFactorGuidelines,3,FALSE),FALSE), "")) - $AA102</f>
        <v>0</v>
      </c>
      <c r="O102" s="14"/>
      <c r="P102" s="12"/>
      <c r="Q102" s="14"/>
      <c r="R102" s="14"/>
      <c r="S102" s="14"/>
      <c r="T102" s="12">
        <f t="shared" si="1"/>
        <v>3.423</v>
      </c>
      <c r="U102" s="12">
        <f>(IF(AND($G102="Frontend",OR($H102="Responsive", $H102="Web")), VLOOKUP($F102,Effort_Estimate_Guidelines,VLOOKUP($H102,FormFactorGuidelines,4,FALSE),FALSE), "")) - $AB102</f>
        <v>0</v>
      </c>
      <c r="V102" s="12">
        <f t="shared" si="2"/>
        <v>20.538</v>
      </c>
      <c r="W102" s="15"/>
      <c r="X102" s="12"/>
      <c r="Y102" s="12"/>
      <c r="Z102" s="12"/>
      <c r="AA102" s="12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</row>
    <row r="103">
      <c r="A103" s="5"/>
      <c r="B103" s="50" t="s">
        <v>136</v>
      </c>
      <c r="C103" s="47" t="s">
        <v>170</v>
      </c>
      <c r="D103" s="54"/>
      <c r="E103" s="42">
        <v>0.0</v>
      </c>
      <c r="F103" s="8" t="s">
        <v>141</v>
      </c>
      <c r="G103" s="48" t="s">
        <v>144</v>
      </c>
      <c r="H103" s="10" t="s">
        <v>32</v>
      </c>
      <c r="I103" s="11" t="s">
        <v>35</v>
      </c>
      <c r="J103" s="12"/>
      <c r="K103" s="12">
        <f>(IF(AND($G103="Frontend",OR($H103="Responsive", $H103="Web")), VLOOKUP($F103,Effort_Estimate_Guidelines,VLOOKUP($H103,FormFactorGuidelines,3,FALSE),FALSE), "")) - $Y103</f>
        <v>0</v>
      </c>
      <c r="L103" s="12">
        <f>(IF(OR($G103="Backend"), VLOOKUP($F103,Effort_Estimate_Guidelines,2,FALSE), "")) - $Z103</f>
        <v>97.44</v>
      </c>
      <c r="M103" s="14"/>
      <c r="N103" s="12">
        <f>(IF(AND($G103="Frontend",OR($H103="Mobile Hybrid", $H103="Responsive")), VLOOKUP($F103,Effort_Estimate_Guidelines,VLOOKUP($H103,FormFactorGuidelines,3,FALSE),FALSE), "")) - $AA103</f>
        <v>0</v>
      </c>
      <c r="O103" s="14"/>
      <c r="P103" s="12"/>
      <c r="Q103" s="14"/>
      <c r="R103" s="14"/>
      <c r="S103" s="14"/>
      <c r="T103" s="12">
        <f t="shared" si="1"/>
        <v>19.488</v>
      </c>
      <c r="U103" s="12">
        <f>(IF(AND($G103="Frontend",OR($H103="Responsive", $H103="Web")), VLOOKUP($F103,Effort_Estimate_Guidelines,VLOOKUP($H103,FormFactorGuidelines,4,FALSE),FALSE), "")) - $AB103</f>
        <v>0</v>
      </c>
      <c r="V103" s="12">
        <f t="shared" si="2"/>
        <v>116.928</v>
      </c>
      <c r="W103" s="15"/>
      <c r="X103" s="12"/>
      <c r="Y103" s="12"/>
      <c r="Z103" s="12"/>
      <c r="AA103" s="12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</row>
    <row r="104">
      <c r="A104" s="5"/>
      <c r="B104" s="50" t="s">
        <v>136</v>
      </c>
      <c r="C104" s="47" t="s">
        <v>171</v>
      </c>
      <c r="D104" s="54"/>
      <c r="E104" s="42">
        <v>0.0</v>
      </c>
      <c r="F104" s="8" t="s">
        <v>30</v>
      </c>
      <c r="G104" s="48" t="s">
        <v>144</v>
      </c>
      <c r="H104" s="10" t="s">
        <v>32</v>
      </c>
      <c r="I104" s="11" t="s">
        <v>35</v>
      </c>
      <c r="J104" s="12"/>
      <c r="K104" s="12">
        <f>(IF(AND($G104="Frontend",OR($H104="Responsive", $H104="Web")), VLOOKUP($F104,Effort_Estimate_Guidelines,VLOOKUP($H104,FormFactorGuidelines,3,FALSE),FALSE), "")) - $Y104</f>
        <v>0</v>
      </c>
      <c r="L104" s="12">
        <f>(IF(OR($G104="Backend"), VLOOKUP($F104,Effort_Estimate_Guidelines,2,FALSE), "")) - $Z104</f>
        <v>17.115</v>
      </c>
      <c r="M104" s="14"/>
      <c r="N104" s="12">
        <f>(IF(AND($G104="Frontend",OR($H104="Mobile Hybrid", $H104="Responsive")), VLOOKUP($F104,Effort_Estimate_Guidelines,VLOOKUP($H104,FormFactorGuidelines,3,FALSE),FALSE), "")) - $AA104</f>
        <v>0</v>
      </c>
      <c r="O104" s="14"/>
      <c r="P104" s="12"/>
      <c r="Q104" s="14"/>
      <c r="R104" s="14"/>
      <c r="S104" s="14"/>
      <c r="T104" s="12">
        <f t="shared" si="1"/>
        <v>3.423</v>
      </c>
      <c r="U104" s="12">
        <f>(IF(AND($G104="Frontend",OR($H104="Responsive", $H104="Web")), VLOOKUP($F104,Effort_Estimate_Guidelines,VLOOKUP($H104,FormFactorGuidelines,4,FALSE),FALSE), "")) - $AB104</f>
        <v>0</v>
      </c>
      <c r="V104" s="12">
        <f t="shared" si="2"/>
        <v>20.538</v>
      </c>
      <c r="W104" s="15"/>
      <c r="X104" s="12"/>
      <c r="Y104" s="12"/>
      <c r="Z104" s="12"/>
      <c r="AA104" s="12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</row>
    <row r="105">
      <c r="A105" s="5"/>
      <c r="B105" s="50" t="s">
        <v>136</v>
      </c>
      <c r="C105" s="47" t="s">
        <v>172</v>
      </c>
      <c r="D105" s="54"/>
      <c r="E105" s="42">
        <v>0.0</v>
      </c>
      <c r="F105" s="8" t="s">
        <v>141</v>
      </c>
      <c r="G105" s="48" t="s">
        <v>144</v>
      </c>
      <c r="H105" s="10" t="s">
        <v>32</v>
      </c>
      <c r="I105" s="11" t="s">
        <v>38</v>
      </c>
      <c r="J105" s="12"/>
      <c r="K105" s="12">
        <f>(IF(AND($G105="Frontend",OR($H105="Responsive", $H105="Web")), VLOOKUP($F105,Effort_Estimate_Guidelines,VLOOKUP($H105,FormFactorGuidelines,3,FALSE),FALSE), "")) - $Y105</f>
        <v>0</v>
      </c>
      <c r="L105" s="12">
        <f>(IF(OR($G105="Backend"), VLOOKUP($F105,Effort_Estimate_Guidelines,2,FALSE), "")) - $Z105</f>
        <v>97.44</v>
      </c>
      <c r="M105" s="14"/>
      <c r="N105" s="12">
        <f>(IF(AND($G105="Frontend",OR($H105="Mobile Hybrid", $H105="Responsive")), VLOOKUP($F105,Effort_Estimate_Guidelines,VLOOKUP($H105,FormFactorGuidelines,3,FALSE),FALSE), "")) - $AA105</f>
        <v>0</v>
      </c>
      <c r="O105" s="14"/>
      <c r="P105" s="12"/>
      <c r="Q105" s="14"/>
      <c r="R105" s="14"/>
      <c r="S105" s="14"/>
      <c r="T105" s="12">
        <f t="shared" si="1"/>
        <v>19.488</v>
      </c>
      <c r="U105" s="12">
        <f>(IF(AND($G105="Frontend",OR($H105="Responsive", $H105="Web")), VLOOKUP($F105,Effort_Estimate_Guidelines,VLOOKUP($H105,FormFactorGuidelines,4,FALSE),FALSE), "")) - $AB105</f>
        <v>0</v>
      </c>
      <c r="V105" s="12">
        <f t="shared" si="2"/>
        <v>116.928</v>
      </c>
      <c r="W105" s="15"/>
      <c r="X105" s="12"/>
      <c r="Y105" s="12"/>
      <c r="Z105" s="12"/>
      <c r="AA105" s="12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</row>
    <row r="106">
      <c r="A106" s="5"/>
      <c r="B106" s="50" t="s">
        <v>136</v>
      </c>
      <c r="C106" s="47" t="s">
        <v>173</v>
      </c>
      <c r="D106" s="54"/>
      <c r="E106" s="42">
        <v>0.0</v>
      </c>
      <c r="F106" s="8" t="s">
        <v>98</v>
      </c>
      <c r="G106" s="48" t="s">
        <v>144</v>
      </c>
      <c r="H106" s="10" t="s">
        <v>32</v>
      </c>
      <c r="I106" s="11" t="s">
        <v>33</v>
      </c>
      <c r="J106" s="12"/>
      <c r="K106" s="12">
        <f>(IF(AND($G106="Frontend",OR($H106="Responsive", $H106="Web")), VLOOKUP($F106,Effort_Estimate_Guidelines,VLOOKUP($H106,FormFactorGuidelines,3,FALSE),FALSE), "")) - $Y106</f>
        <v>0</v>
      </c>
      <c r="L106" s="12">
        <f>(IF(OR($G106="Backend"), VLOOKUP($F106,Effort_Estimate_Guidelines,2,FALSE), "")) - $Z106</f>
        <v>61.74</v>
      </c>
      <c r="M106" s="17">
        <v>80.0</v>
      </c>
      <c r="N106" s="12">
        <f>(IF(AND($G106="Frontend",OR($H106="Mobile Hybrid", $H106="Responsive")), VLOOKUP($F106,Effort_Estimate_Guidelines,VLOOKUP($H106,FormFactorGuidelines,3,FALSE),FALSE), "")) - $AA106</f>
        <v>0</v>
      </c>
      <c r="O106" s="14"/>
      <c r="P106" s="12"/>
      <c r="Q106" s="14"/>
      <c r="R106" s="14"/>
      <c r="S106" s="14"/>
      <c r="T106" s="12">
        <f t="shared" si="1"/>
        <v>12.348</v>
      </c>
      <c r="U106" s="12">
        <f>(IF(AND($G106="Frontend",OR($H106="Responsive", $H106="Web")), VLOOKUP($F106,Effort_Estimate_Guidelines,VLOOKUP($H106,FormFactorGuidelines,4,FALSE),FALSE), "")) - $AB106</f>
        <v>0</v>
      </c>
      <c r="V106" s="12">
        <f t="shared" si="2"/>
        <v>154.088</v>
      </c>
      <c r="W106" s="15"/>
      <c r="X106" s="12"/>
      <c r="Y106" s="12"/>
      <c r="Z106" s="12"/>
      <c r="AA106" s="12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</row>
    <row r="107">
      <c r="A107" s="5"/>
      <c r="B107" s="50" t="s">
        <v>136</v>
      </c>
      <c r="C107" s="47" t="s">
        <v>174</v>
      </c>
      <c r="D107" s="11" t="s">
        <v>140</v>
      </c>
      <c r="E107" s="42">
        <v>0.0</v>
      </c>
      <c r="F107" s="8" t="s">
        <v>141</v>
      </c>
      <c r="G107" s="48" t="s">
        <v>144</v>
      </c>
      <c r="H107" s="10" t="s">
        <v>32</v>
      </c>
      <c r="I107" s="11" t="s">
        <v>38</v>
      </c>
      <c r="J107" s="12"/>
      <c r="K107" s="12">
        <f>(IF(AND($G107="Frontend",OR($H107="Responsive", $H107="Web")), VLOOKUP($F107,Effort_Estimate_Guidelines,VLOOKUP($H107,FormFactorGuidelines,3,FALSE),FALSE), "")) - $Y107</f>
        <v>0</v>
      </c>
      <c r="L107" s="12">
        <f>(IF(OR($G107="Backend"), VLOOKUP($F107,Effort_Estimate_Guidelines,2,FALSE), "")) - $Z107</f>
        <v>97.44</v>
      </c>
      <c r="M107" s="14"/>
      <c r="N107" s="12">
        <f>(IF(AND($G107="Frontend",OR($H107="Mobile Hybrid", $H107="Responsive")), VLOOKUP($F107,Effort_Estimate_Guidelines,VLOOKUP($H107,FormFactorGuidelines,3,FALSE),FALSE), "")) - $AA107</f>
        <v>0</v>
      </c>
      <c r="O107" s="14"/>
      <c r="P107" s="12"/>
      <c r="Q107" s="14"/>
      <c r="R107" s="14"/>
      <c r="S107" s="14"/>
      <c r="T107" s="12">
        <f t="shared" si="1"/>
        <v>19.488</v>
      </c>
      <c r="U107" s="12">
        <f>(IF(AND($G107="Frontend",OR($H107="Responsive", $H107="Web")), VLOOKUP($F107,Effort_Estimate_Guidelines,VLOOKUP($H107,FormFactorGuidelines,4,FALSE),FALSE), "")) - $AB107</f>
        <v>0</v>
      </c>
      <c r="V107" s="12">
        <f t="shared" si="2"/>
        <v>116.928</v>
      </c>
      <c r="W107" s="15"/>
      <c r="X107" s="12"/>
      <c r="Y107" s="12"/>
      <c r="Z107" s="12"/>
      <c r="AA107" s="12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</row>
    <row r="108">
      <c r="A108" s="5" t="s">
        <v>175</v>
      </c>
      <c r="B108" s="5" t="s">
        <v>176</v>
      </c>
      <c r="C108" s="5" t="s">
        <v>177</v>
      </c>
      <c r="D108" s="54"/>
      <c r="E108" s="7"/>
      <c r="F108" s="10" t="s">
        <v>30</v>
      </c>
      <c r="G108" s="9" t="s">
        <v>144</v>
      </c>
      <c r="H108" s="10" t="s">
        <v>32</v>
      </c>
      <c r="I108" s="11" t="s">
        <v>33</v>
      </c>
      <c r="J108" s="12"/>
      <c r="K108" s="12">
        <f>(IF(AND($G108="Frontend",OR($H108="Responsive", $H108="Web")), VLOOKUP($F108,Effort_Estimate_Guidelines,VLOOKUP($H108,FormFactorGuidelines,3,FALSE),FALSE), "")) - $Y108</f>
        <v>0</v>
      </c>
      <c r="L108" s="13">
        <v>40.0</v>
      </c>
      <c r="M108" s="14"/>
      <c r="N108" s="12">
        <f>(IF(AND($G108="Frontend",OR($H108="Mobile Hybrid", $H108="Responsive")), VLOOKUP($F108,Effort_Estimate_Guidelines,VLOOKUP($H108,FormFactorGuidelines,3,FALSE),FALSE), "")) - $AA108</f>
        <v>0</v>
      </c>
      <c r="O108" s="14"/>
      <c r="P108" s="12"/>
      <c r="Q108" s="14"/>
      <c r="R108" s="14"/>
      <c r="S108" s="14"/>
      <c r="T108" s="13">
        <v>0.0</v>
      </c>
      <c r="U108" s="13">
        <v>0.0</v>
      </c>
      <c r="V108" s="12">
        <f t="shared" si="2"/>
        <v>40</v>
      </c>
      <c r="W108" s="15"/>
      <c r="X108" s="12"/>
      <c r="Y108" s="12"/>
      <c r="Z108" s="12"/>
      <c r="AA108" s="12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</row>
    <row r="109">
      <c r="A109" s="5" t="s">
        <v>175</v>
      </c>
      <c r="B109" s="11" t="s">
        <v>14</v>
      </c>
      <c r="C109" s="11" t="s">
        <v>178</v>
      </c>
      <c r="D109" s="54"/>
      <c r="E109" s="7"/>
      <c r="F109" s="10" t="s">
        <v>98</v>
      </c>
      <c r="G109" s="9" t="s">
        <v>144</v>
      </c>
      <c r="H109" s="10" t="s">
        <v>32</v>
      </c>
      <c r="I109" s="11" t="s">
        <v>33</v>
      </c>
      <c r="J109" s="12"/>
      <c r="K109" s="12">
        <f>(IF(AND($G109="Frontend",OR($H109="Responsive", $H109="Web")), VLOOKUP($F109,Effort_Estimate_Guidelines,VLOOKUP($H109,FormFactorGuidelines,3,FALSE),FALSE), "")) - $Y109</f>
        <v>0</v>
      </c>
      <c r="L109" s="12"/>
      <c r="M109" s="14"/>
      <c r="N109" s="12">
        <f>(IF(AND($G109="Frontend",OR($H109="Mobile Hybrid", $H109="Responsive")), VLOOKUP($F109,Effort_Estimate_Guidelines,VLOOKUP($H109,FormFactorGuidelines,3,FALSE),FALSE), "")) - $AA109</f>
        <v>0</v>
      </c>
      <c r="O109" s="13">
        <v>64.0</v>
      </c>
      <c r="P109" s="12"/>
      <c r="Q109" s="14"/>
      <c r="R109" s="14"/>
      <c r="S109" s="14"/>
      <c r="T109" s="13">
        <v>0.0</v>
      </c>
      <c r="U109" s="13">
        <v>0.0</v>
      </c>
      <c r="V109" s="12">
        <f t="shared" si="2"/>
        <v>64</v>
      </c>
      <c r="W109" s="15"/>
      <c r="X109" s="12"/>
      <c r="Y109" s="12"/>
      <c r="Z109" s="13">
        <v>4.0</v>
      </c>
      <c r="AA109" s="12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</row>
    <row r="110">
      <c r="A110" s="39" t="s">
        <v>175</v>
      </c>
      <c r="B110" s="15" t="s">
        <v>179</v>
      </c>
      <c r="C110" s="39"/>
      <c r="D110" s="39"/>
      <c r="E110" s="55"/>
      <c r="F110" s="56" t="s">
        <v>30</v>
      </c>
      <c r="G110" s="14" t="s">
        <v>144</v>
      </c>
      <c r="H110" s="56" t="s">
        <v>32</v>
      </c>
      <c r="I110" s="11" t="s">
        <v>33</v>
      </c>
      <c r="J110" s="12"/>
      <c r="K110" s="12">
        <v>0.0</v>
      </c>
      <c r="L110" s="12"/>
      <c r="M110" s="14"/>
      <c r="N110" s="12">
        <f>(IF(AND($G110="Frontend",OR($H110="Mobile Hybrid", $H110="Responsive")), VLOOKUP($F110,Effort_Estimate_Guidelines,VLOOKUP($H110,FormFactorGuidelines,3,FALSE),FALSE), "")) - $AA110</f>
        <v>0</v>
      </c>
      <c r="O110" s="14"/>
      <c r="P110" s="12"/>
      <c r="Q110" s="14"/>
      <c r="R110" s="14"/>
      <c r="S110" s="14"/>
      <c r="T110" s="13">
        <v>0.0</v>
      </c>
      <c r="U110" s="13">
        <v>0.0</v>
      </c>
      <c r="V110" s="12">
        <f t="shared" si="2"/>
        <v>0</v>
      </c>
      <c r="W110" s="15"/>
      <c r="X110" s="12"/>
      <c r="Y110" s="12"/>
      <c r="Z110" s="12"/>
      <c r="AA110" s="12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</row>
    <row r="111">
      <c r="A111" s="39" t="s">
        <v>175</v>
      </c>
      <c r="B111" s="57" t="s">
        <v>180</v>
      </c>
      <c r="C111" s="39"/>
      <c r="D111" s="39"/>
      <c r="E111" s="58"/>
      <c r="F111" s="59" t="s">
        <v>30</v>
      </c>
      <c r="G111" s="60" t="s">
        <v>144</v>
      </c>
      <c r="H111" s="59" t="s">
        <v>32</v>
      </c>
      <c r="I111" s="11" t="s">
        <v>33</v>
      </c>
      <c r="J111" s="24"/>
      <c r="K111" s="24">
        <f>(IF(AND($G111="Frontend",OR($H111="Responsive", $H111="Web")), VLOOKUP($F111,Effort_Estimate_Guidelines,VLOOKUP($H111,FormFactorGuidelines,3,FALSE),FALSE), "")) - $Y111</f>
        <v>0</v>
      </c>
      <c r="L111" s="24"/>
      <c r="M111" s="25"/>
      <c r="N111" s="12">
        <f>(IF(AND($G111="Frontend",OR($H111="Mobile Hybrid", $H111="Responsive")), VLOOKUP($F111,Effort_Estimate_Guidelines,VLOOKUP($H111,FormFactorGuidelines,3,FALSE),FALSE), "")) - $AA111</f>
        <v>0</v>
      </c>
      <c r="O111" s="25"/>
      <c r="P111" s="61">
        <v>40.0</v>
      </c>
      <c r="Q111" s="60">
        <v>40.0</v>
      </c>
      <c r="R111" s="60"/>
      <c r="S111" s="62">
        <v>32.0</v>
      </c>
      <c r="T111" s="13">
        <v>0.0</v>
      </c>
      <c r="U111" s="13">
        <v>0.0</v>
      </c>
      <c r="V111" s="24">
        <f t="shared" si="2"/>
        <v>112</v>
      </c>
      <c r="W111" s="25"/>
      <c r="X111" s="26"/>
      <c r="Y111" s="26"/>
      <c r="Z111" s="26"/>
      <c r="AA111" s="26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</row>
    <row r="112">
      <c r="A112" s="5" t="s">
        <v>175</v>
      </c>
      <c r="B112" s="5" t="s">
        <v>176</v>
      </c>
      <c r="C112" s="5" t="s">
        <v>177</v>
      </c>
      <c r="D112" s="54"/>
      <c r="E112" s="7"/>
      <c r="F112" s="10" t="s">
        <v>30</v>
      </c>
      <c r="G112" s="9" t="s">
        <v>144</v>
      </c>
      <c r="H112" s="10" t="s">
        <v>32</v>
      </c>
      <c r="I112" s="11" t="s">
        <v>35</v>
      </c>
      <c r="J112" s="12"/>
      <c r="K112" s="12">
        <f>(IF(AND($G112="Frontend",OR($H112="Responsive", $H112="Web")), VLOOKUP($F112,Effort_Estimate_Guidelines,VLOOKUP($H112,FormFactorGuidelines,3,FALSE),FALSE), "")) - $Y112</f>
        <v>0</v>
      </c>
      <c r="L112" s="13">
        <v>32.0</v>
      </c>
      <c r="M112" s="14"/>
      <c r="N112" s="12">
        <f>(IF(AND($G112="Frontend",OR($H112="Mobile Hybrid", $H112="Responsive")), VLOOKUP($F112,Effort_Estimate_Guidelines,VLOOKUP($H112,FormFactorGuidelines,3,FALSE),FALSE), "")) - $AA112</f>
        <v>0</v>
      </c>
      <c r="O112" s="14"/>
      <c r="P112" s="12"/>
      <c r="Q112" s="14"/>
      <c r="R112" s="14"/>
      <c r="S112" s="14"/>
      <c r="T112" s="13">
        <v>0.0</v>
      </c>
      <c r="U112" s="13">
        <v>0.0</v>
      </c>
      <c r="V112" s="12">
        <f t="shared" si="2"/>
        <v>32</v>
      </c>
      <c r="W112" s="15"/>
      <c r="X112" s="12"/>
      <c r="Y112" s="12"/>
      <c r="Z112" s="12"/>
      <c r="AA112" s="12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</row>
    <row r="113">
      <c r="A113" s="5" t="s">
        <v>175</v>
      </c>
      <c r="B113" s="11" t="s">
        <v>14</v>
      </c>
      <c r="C113" s="11" t="s">
        <v>178</v>
      </c>
      <c r="D113" s="54"/>
      <c r="E113" s="7"/>
      <c r="F113" s="10" t="s">
        <v>98</v>
      </c>
      <c r="G113" s="9" t="s">
        <v>144</v>
      </c>
      <c r="H113" s="10" t="s">
        <v>32</v>
      </c>
      <c r="I113" s="11" t="s">
        <v>35</v>
      </c>
      <c r="J113" s="12"/>
      <c r="K113" s="12">
        <f>(IF(AND($G113="Frontend",OR($H113="Responsive", $H113="Web")), VLOOKUP($F113,Effort_Estimate_Guidelines,VLOOKUP($H113,FormFactorGuidelines,3,FALSE),FALSE), "")) - $Y113</f>
        <v>0</v>
      </c>
      <c r="L113" s="12"/>
      <c r="M113" s="14"/>
      <c r="N113" s="12">
        <f>(IF(AND($G113="Frontend",OR($H113="Mobile Hybrid", $H113="Responsive")), VLOOKUP($F113,Effort_Estimate_Guidelines,VLOOKUP($H113,FormFactorGuidelines,3,FALSE),FALSE), "")) - $AA113</f>
        <v>0</v>
      </c>
      <c r="O113" s="13">
        <v>32.0</v>
      </c>
      <c r="P113" s="12"/>
      <c r="Q113" s="14"/>
      <c r="R113" s="14"/>
      <c r="S113" s="14"/>
      <c r="T113" s="13">
        <v>0.0</v>
      </c>
      <c r="U113" s="13">
        <v>0.0</v>
      </c>
      <c r="V113" s="12">
        <f t="shared" si="2"/>
        <v>32</v>
      </c>
      <c r="W113" s="15"/>
      <c r="X113" s="12"/>
      <c r="Y113" s="12"/>
      <c r="Z113" s="13">
        <v>4.0</v>
      </c>
      <c r="AA113" s="12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</row>
    <row r="114">
      <c r="A114" s="39" t="s">
        <v>175</v>
      </c>
      <c r="B114" s="15" t="s">
        <v>179</v>
      </c>
      <c r="C114" s="39"/>
      <c r="D114" s="39"/>
      <c r="E114" s="55"/>
      <c r="F114" s="56" t="s">
        <v>30</v>
      </c>
      <c r="G114" s="14" t="s">
        <v>144</v>
      </c>
      <c r="H114" s="56" t="s">
        <v>32</v>
      </c>
      <c r="I114" s="11" t="s">
        <v>35</v>
      </c>
      <c r="J114" s="12"/>
      <c r="K114" s="12">
        <v>0.0</v>
      </c>
      <c r="L114" s="12"/>
      <c r="M114" s="14"/>
      <c r="N114" s="12">
        <f>(IF(AND($G114="Frontend",OR($H114="Mobile Hybrid", $H114="Responsive")), VLOOKUP($F114,Effort_Estimate_Guidelines,VLOOKUP($H114,FormFactorGuidelines,3,FALSE),FALSE), "")) - $AA114</f>
        <v>0</v>
      </c>
      <c r="O114" s="14"/>
      <c r="P114" s="12"/>
      <c r="Q114" s="14"/>
      <c r="R114" s="14"/>
      <c r="S114" s="14"/>
      <c r="T114" s="13">
        <v>0.0</v>
      </c>
      <c r="U114" s="13">
        <v>0.0</v>
      </c>
      <c r="V114" s="12">
        <f t="shared" si="2"/>
        <v>0</v>
      </c>
      <c r="W114" s="15"/>
      <c r="X114" s="12"/>
      <c r="Y114" s="12"/>
      <c r="Z114" s="12"/>
      <c r="AA114" s="12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</row>
    <row r="115">
      <c r="A115" s="39" t="s">
        <v>175</v>
      </c>
      <c r="B115" s="57" t="s">
        <v>180</v>
      </c>
      <c r="C115" s="39"/>
      <c r="D115" s="39"/>
      <c r="E115" s="58"/>
      <c r="F115" s="59" t="s">
        <v>30</v>
      </c>
      <c r="G115" s="60" t="s">
        <v>144</v>
      </c>
      <c r="H115" s="59" t="s">
        <v>32</v>
      </c>
      <c r="I115" s="11" t="s">
        <v>35</v>
      </c>
      <c r="J115" s="24"/>
      <c r="K115" s="24">
        <f>(IF(AND($G115="Frontend",OR($H115="Responsive", $H115="Web")), VLOOKUP($F115,Effort_Estimate_Guidelines,VLOOKUP($H115,FormFactorGuidelines,3,FALSE),FALSE), "")) - $Y115</f>
        <v>0</v>
      </c>
      <c r="L115" s="24"/>
      <c r="M115" s="25"/>
      <c r="N115" s="12">
        <f>(IF(AND($G115="Frontend",OR($H115="Mobile Hybrid", $H115="Responsive")), VLOOKUP($F115,Effort_Estimate_Guidelines,VLOOKUP($H115,FormFactorGuidelines,3,FALSE),FALSE), "")) - $AA115</f>
        <v>0</v>
      </c>
      <c r="O115" s="25"/>
      <c r="P115" s="61">
        <v>40.0</v>
      </c>
      <c r="Q115" s="60">
        <v>40.0</v>
      </c>
      <c r="R115" s="60"/>
      <c r="S115" s="62">
        <v>32.0</v>
      </c>
      <c r="T115" s="13">
        <v>0.0</v>
      </c>
      <c r="U115" s="13">
        <v>0.0</v>
      </c>
      <c r="V115" s="24">
        <f t="shared" si="2"/>
        <v>112</v>
      </c>
      <c r="W115" s="25"/>
      <c r="X115" s="26"/>
      <c r="Y115" s="26"/>
      <c r="Z115" s="26"/>
      <c r="AA115" s="26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</row>
    <row r="116">
      <c r="A116" s="5" t="s">
        <v>175</v>
      </c>
      <c r="B116" s="5" t="s">
        <v>176</v>
      </c>
      <c r="C116" s="5" t="s">
        <v>177</v>
      </c>
      <c r="D116" s="54"/>
      <c r="E116" s="7"/>
      <c r="F116" s="10" t="s">
        <v>30</v>
      </c>
      <c r="G116" s="9" t="s">
        <v>144</v>
      </c>
      <c r="H116" s="10" t="s">
        <v>32</v>
      </c>
      <c r="I116" s="11" t="s">
        <v>38</v>
      </c>
      <c r="J116" s="12"/>
      <c r="K116" s="12">
        <f>(IF(AND($G116="Frontend",OR($H116="Responsive", $H116="Web")), VLOOKUP($F116,Effort_Estimate_Guidelines,VLOOKUP($H116,FormFactorGuidelines,3,FALSE),FALSE), "")) - $Y116</f>
        <v>0</v>
      </c>
      <c r="L116" s="13">
        <v>24.0</v>
      </c>
      <c r="M116" s="14"/>
      <c r="N116" s="12">
        <f>(IF(AND($G116="Frontend",OR($H116="Mobile Hybrid", $H116="Responsive")), VLOOKUP($F116,Effort_Estimate_Guidelines,VLOOKUP($H116,FormFactorGuidelines,3,FALSE),FALSE), "")) - $AA116</f>
        <v>0</v>
      </c>
      <c r="O116" s="14"/>
      <c r="P116" s="12"/>
      <c r="Q116" s="14"/>
      <c r="R116" s="14"/>
      <c r="S116" s="14"/>
      <c r="T116" s="13">
        <v>0.0</v>
      </c>
      <c r="U116" s="13">
        <v>0.0</v>
      </c>
      <c r="V116" s="12">
        <f t="shared" si="2"/>
        <v>24</v>
      </c>
      <c r="W116" s="15"/>
      <c r="X116" s="12"/>
      <c r="Y116" s="12"/>
      <c r="Z116" s="12"/>
      <c r="AA116" s="12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</row>
    <row r="117">
      <c r="A117" s="5" t="s">
        <v>175</v>
      </c>
      <c r="B117" s="11" t="s">
        <v>14</v>
      </c>
      <c r="C117" s="11" t="s">
        <v>178</v>
      </c>
      <c r="D117" s="54"/>
      <c r="E117" s="7"/>
      <c r="F117" s="10" t="s">
        <v>98</v>
      </c>
      <c r="G117" s="9" t="s">
        <v>144</v>
      </c>
      <c r="H117" s="10" t="s">
        <v>32</v>
      </c>
      <c r="I117" s="11" t="s">
        <v>38</v>
      </c>
      <c r="J117" s="12"/>
      <c r="K117" s="12">
        <f>(IF(AND($G117="Frontend",OR($H117="Responsive", $H117="Web")), VLOOKUP($F117,Effort_Estimate_Guidelines,VLOOKUP($H117,FormFactorGuidelines,3,FALSE),FALSE), "")) - $Y117</f>
        <v>0</v>
      </c>
      <c r="L117" s="12"/>
      <c r="M117" s="14"/>
      <c r="N117" s="12">
        <f>(IF(AND($G117="Frontend",OR($H117="Mobile Hybrid", $H117="Responsive")), VLOOKUP($F117,Effort_Estimate_Guidelines,VLOOKUP($H117,FormFactorGuidelines,3,FALSE),FALSE), "")) - $AA117</f>
        <v>0</v>
      </c>
      <c r="O117" s="13">
        <v>32.0</v>
      </c>
      <c r="P117" s="12"/>
      <c r="Q117" s="14"/>
      <c r="R117" s="14"/>
      <c r="S117" s="14"/>
      <c r="T117" s="13">
        <v>0.0</v>
      </c>
      <c r="U117" s="13">
        <v>0.0</v>
      </c>
      <c r="V117" s="12">
        <f t="shared" si="2"/>
        <v>32</v>
      </c>
      <c r="W117" s="15"/>
      <c r="X117" s="12"/>
      <c r="Y117" s="12"/>
      <c r="Z117" s="13">
        <v>4.0</v>
      </c>
      <c r="AA117" s="12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</row>
    <row r="118">
      <c r="A118" s="39" t="s">
        <v>175</v>
      </c>
      <c r="B118" s="15" t="s">
        <v>179</v>
      </c>
      <c r="C118" s="39"/>
      <c r="D118" s="39"/>
      <c r="E118" s="55"/>
      <c r="F118" s="56" t="s">
        <v>30</v>
      </c>
      <c r="G118" s="14" t="s">
        <v>144</v>
      </c>
      <c r="H118" s="56" t="s">
        <v>32</v>
      </c>
      <c r="I118" s="11" t="s">
        <v>38</v>
      </c>
      <c r="J118" s="12"/>
      <c r="K118" s="12">
        <v>0.0</v>
      </c>
      <c r="L118" s="12"/>
      <c r="M118" s="14"/>
      <c r="N118" s="12">
        <f>(IF(AND($G118="Frontend",OR($H118="Mobile Hybrid", $H118="Responsive")), VLOOKUP($F118,Effort_Estimate_Guidelines,VLOOKUP($H118,FormFactorGuidelines,3,FALSE),FALSE), "")) - $AA118</f>
        <v>0</v>
      </c>
      <c r="O118" s="14"/>
      <c r="P118" s="12"/>
      <c r="Q118" s="14"/>
      <c r="R118" s="14"/>
      <c r="S118" s="14"/>
      <c r="T118" s="13">
        <v>0.0</v>
      </c>
      <c r="U118" s="13">
        <v>0.0</v>
      </c>
      <c r="V118" s="12">
        <f t="shared" si="2"/>
        <v>0</v>
      </c>
      <c r="W118" s="15"/>
      <c r="X118" s="12"/>
      <c r="Y118" s="12"/>
      <c r="Z118" s="12"/>
      <c r="AA118" s="12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</row>
    <row r="119">
      <c r="A119" s="39" t="s">
        <v>175</v>
      </c>
      <c r="B119" s="57" t="s">
        <v>180</v>
      </c>
      <c r="C119" s="39"/>
      <c r="D119" s="39"/>
      <c r="E119" s="58"/>
      <c r="F119" s="59" t="s">
        <v>30</v>
      </c>
      <c r="G119" s="60" t="s">
        <v>144</v>
      </c>
      <c r="H119" s="59" t="s">
        <v>32</v>
      </c>
      <c r="I119" s="11" t="s">
        <v>38</v>
      </c>
      <c r="J119" s="24"/>
      <c r="K119" s="24">
        <f>(IF(AND($G119="Frontend",OR($H119="Responsive", $H119="Web")), VLOOKUP($F119,Effort_Estimate_Guidelines,VLOOKUP($H119,FormFactorGuidelines,3,FALSE),FALSE), "")) - $Y119</f>
        <v>0</v>
      </c>
      <c r="L119" s="24"/>
      <c r="M119" s="25"/>
      <c r="N119" s="12">
        <f>(IF(AND($G119="Frontend",OR($H119="Mobile Hybrid", $H119="Responsive")), VLOOKUP($F119,Effort_Estimate_Guidelines,VLOOKUP($H119,FormFactorGuidelines,3,FALSE),FALSE), "")) - $AA119</f>
        <v>0</v>
      </c>
      <c r="O119" s="25"/>
      <c r="P119" s="61">
        <v>40.0</v>
      </c>
      <c r="Q119" s="60">
        <v>40.0</v>
      </c>
      <c r="R119" s="60"/>
      <c r="S119" s="62">
        <v>24.0</v>
      </c>
      <c r="T119" s="13">
        <v>0.0</v>
      </c>
      <c r="U119" s="13">
        <v>0.0</v>
      </c>
      <c r="V119" s="24">
        <f t="shared" si="2"/>
        <v>104</v>
      </c>
      <c r="W119" s="25"/>
      <c r="X119" s="26"/>
      <c r="Y119" s="26"/>
      <c r="Z119" s="26"/>
      <c r="AA119" s="26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</row>
    <row r="120" ht="15.75" customHeight="1">
      <c r="A120" s="63"/>
      <c r="B120" s="63"/>
      <c r="C120" s="63"/>
      <c r="D120" s="64" t="s">
        <v>181</v>
      </c>
      <c r="E120" s="65">
        <f>SUM(E108:E111)</f>
        <v>0</v>
      </c>
      <c r="F120" s="66"/>
      <c r="G120" s="66"/>
      <c r="H120" s="66"/>
      <c r="I120" s="66"/>
      <c r="J120" s="67">
        <f>SUM(J2:J111)</f>
        <v>0</v>
      </c>
      <c r="K120" s="67">
        <f t="shared" ref="K120:U120" si="3">SUM(K2:K119)</f>
        <v>629.51</v>
      </c>
      <c r="L120" s="67">
        <f t="shared" si="3"/>
        <v>2009.775</v>
      </c>
      <c r="M120" s="67">
        <f t="shared" si="3"/>
        <v>224</v>
      </c>
      <c r="N120" s="67">
        <f t="shared" si="3"/>
        <v>554.75</v>
      </c>
      <c r="O120" s="67">
        <f t="shared" si="3"/>
        <v>128</v>
      </c>
      <c r="P120" s="67">
        <f t="shared" si="3"/>
        <v>120</v>
      </c>
      <c r="Q120" s="67">
        <f t="shared" si="3"/>
        <v>120</v>
      </c>
      <c r="R120" s="67">
        <f t="shared" si="3"/>
        <v>0</v>
      </c>
      <c r="S120" s="67">
        <f t="shared" si="3"/>
        <v>88</v>
      </c>
      <c r="T120" s="67">
        <f t="shared" si="3"/>
        <v>508.657</v>
      </c>
      <c r="U120" s="67">
        <f t="shared" si="3"/>
        <v>482</v>
      </c>
      <c r="V120" s="67">
        <f t="shared" si="2"/>
        <v>4864.692</v>
      </c>
      <c r="W120" s="67">
        <f>SUM(V2:V119)</f>
        <v>4864.692</v>
      </c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</row>
    <row r="121" ht="15.75" customHeight="1">
      <c r="A121" s="15"/>
      <c r="B121" s="15"/>
      <c r="C121" s="15"/>
      <c r="D121" s="15"/>
      <c r="E121" s="14"/>
      <c r="F121" s="14"/>
      <c r="G121" s="15"/>
      <c r="H121" s="68"/>
      <c r="I121" s="15"/>
      <c r="J121" s="15"/>
      <c r="K121" s="15"/>
      <c r="L121" s="15"/>
      <c r="M121" s="14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>
      <c r="A176" s="15"/>
      <c r="B176" s="15"/>
      <c r="C176" s="15"/>
      <c r="D176" s="15"/>
      <c r="E176" s="14"/>
      <c r="F176" s="14"/>
      <c r="G176" s="15"/>
      <c r="H176" s="68"/>
      <c r="I176" s="15"/>
      <c r="J176" s="15"/>
      <c r="K176" s="15"/>
      <c r="L176" s="15"/>
      <c r="M176" s="14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</row>
    <row r="177" ht="15.75" customHeight="1">
      <c r="A177" s="15"/>
      <c r="B177" s="15"/>
      <c r="C177" s="15"/>
      <c r="D177" s="15"/>
      <c r="E177" s="14"/>
      <c r="F177" s="14"/>
      <c r="G177" s="15"/>
      <c r="H177" s="68"/>
      <c r="I177" s="15"/>
      <c r="J177" s="15"/>
      <c r="K177" s="15"/>
      <c r="L177" s="15"/>
      <c r="M177" s="14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</row>
    <row r="178" ht="15.75" customHeight="1">
      <c r="A178" s="15"/>
      <c r="B178" s="15"/>
      <c r="C178" s="15"/>
      <c r="D178" s="15"/>
      <c r="E178" s="14"/>
      <c r="F178" s="14"/>
      <c r="G178" s="15"/>
      <c r="H178" s="68"/>
      <c r="I178" s="15"/>
      <c r="J178" s="15"/>
      <c r="K178" s="15"/>
      <c r="L178" s="15"/>
      <c r="M178" s="14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</row>
    <row r="179" ht="15.75" customHeight="1">
      <c r="A179" s="15"/>
      <c r="B179" s="15"/>
      <c r="C179" s="15"/>
      <c r="D179" s="15"/>
      <c r="E179" s="14"/>
      <c r="F179" s="14"/>
      <c r="G179" s="15"/>
      <c r="H179" s="68"/>
      <c r="I179" s="15"/>
      <c r="J179" s="15"/>
      <c r="K179" s="15"/>
      <c r="L179" s="15"/>
      <c r="M179" s="14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</row>
    <row r="180" ht="15.75" customHeight="1">
      <c r="A180" s="15"/>
      <c r="B180" s="15"/>
      <c r="C180" s="15"/>
      <c r="D180" s="15"/>
      <c r="E180" s="14"/>
      <c r="F180" s="14"/>
      <c r="G180" s="15"/>
      <c r="H180" s="68"/>
      <c r="I180" s="15"/>
      <c r="J180" s="15"/>
      <c r="K180" s="15"/>
      <c r="L180" s="15"/>
      <c r="M180" s="14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</row>
    <row r="181" ht="15.75" customHeight="1">
      <c r="A181" s="15"/>
      <c r="B181" s="15"/>
      <c r="C181" s="15"/>
      <c r="D181" s="15"/>
      <c r="E181" s="14"/>
      <c r="F181" s="14"/>
      <c r="G181" s="15"/>
      <c r="H181" s="68"/>
      <c r="I181" s="15"/>
      <c r="J181" s="15"/>
      <c r="K181" s="15"/>
      <c r="L181" s="15"/>
      <c r="M181" s="14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</row>
    <row r="182" ht="15.75" customHeight="1">
      <c r="A182" s="15"/>
      <c r="B182" s="15"/>
      <c r="C182" s="15"/>
      <c r="D182" s="15"/>
      <c r="E182" s="14"/>
      <c r="F182" s="14"/>
      <c r="G182" s="15"/>
      <c r="H182" s="68"/>
      <c r="I182" s="15"/>
      <c r="J182" s="15"/>
      <c r="K182" s="15"/>
      <c r="L182" s="15"/>
      <c r="M182" s="14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</row>
    <row r="183" ht="15.75" customHeight="1">
      <c r="A183" s="15"/>
      <c r="B183" s="15"/>
      <c r="C183" s="15"/>
      <c r="D183" s="15"/>
      <c r="E183" s="14"/>
      <c r="F183" s="14"/>
      <c r="G183" s="15"/>
      <c r="H183" s="68"/>
      <c r="I183" s="15"/>
      <c r="J183" s="15"/>
      <c r="K183" s="15"/>
      <c r="L183" s="15"/>
      <c r="M183" s="14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</row>
    <row r="184" ht="15.75" customHeight="1">
      <c r="A184" s="15"/>
      <c r="B184" s="15"/>
      <c r="C184" s="15"/>
      <c r="D184" s="15"/>
      <c r="E184" s="14"/>
      <c r="F184" s="14"/>
      <c r="G184" s="15"/>
      <c r="H184" s="68"/>
      <c r="I184" s="15"/>
      <c r="J184" s="15"/>
      <c r="K184" s="15"/>
      <c r="L184" s="15"/>
      <c r="M184" s="14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</row>
    <row r="185" ht="15.75" customHeight="1">
      <c r="A185" s="15"/>
      <c r="B185" s="15"/>
      <c r="C185" s="15"/>
      <c r="D185" s="15"/>
      <c r="E185" s="14"/>
      <c r="F185" s="14"/>
      <c r="G185" s="15"/>
      <c r="H185" s="68"/>
      <c r="I185" s="15"/>
      <c r="J185" s="15"/>
      <c r="K185" s="15"/>
      <c r="L185" s="15"/>
      <c r="M185" s="14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</row>
    <row r="186" ht="15.75" customHeight="1">
      <c r="A186" s="15"/>
      <c r="B186" s="15"/>
      <c r="C186" s="15"/>
      <c r="D186" s="15"/>
      <c r="E186" s="14"/>
      <c r="F186" s="14"/>
      <c r="G186" s="15"/>
      <c r="H186" s="68"/>
      <c r="I186" s="15"/>
      <c r="J186" s="15"/>
      <c r="K186" s="15"/>
      <c r="L186" s="15"/>
      <c r="M186" s="14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</row>
    <row r="187" ht="15.75" customHeight="1">
      <c r="A187" s="15"/>
      <c r="B187" s="15"/>
      <c r="C187" s="15"/>
      <c r="D187" s="15"/>
      <c r="E187" s="14"/>
      <c r="F187" s="14"/>
      <c r="G187" s="15"/>
      <c r="H187" s="68"/>
      <c r="I187" s="15"/>
      <c r="J187" s="15"/>
      <c r="K187" s="15"/>
      <c r="L187" s="15"/>
      <c r="M187" s="14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</row>
    <row r="188" ht="15.75" customHeight="1">
      <c r="A188" s="15"/>
      <c r="B188" s="15"/>
      <c r="C188" s="15"/>
      <c r="D188" s="15"/>
      <c r="E188" s="14"/>
      <c r="F188" s="14"/>
      <c r="G188" s="15"/>
      <c r="H188" s="68"/>
      <c r="I188" s="15"/>
      <c r="J188" s="15"/>
      <c r="K188" s="15"/>
      <c r="L188" s="15"/>
      <c r="M188" s="14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</row>
    <row r="189" ht="15.75" customHeight="1">
      <c r="A189" s="15"/>
      <c r="B189" s="15"/>
      <c r="C189" s="15"/>
      <c r="D189" s="15"/>
      <c r="E189" s="14"/>
      <c r="F189" s="14"/>
      <c r="G189" s="15"/>
      <c r="H189" s="68"/>
      <c r="I189" s="15"/>
      <c r="J189" s="15"/>
      <c r="K189" s="15"/>
      <c r="L189" s="15"/>
      <c r="M189" s="14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</row>
    <row r="190" ht="15.75" customHeight="1">
      <c r="A190" s="15"/>
      <c r="B190" s="15"/>
      <c r="C190" s="15"/>
      <c r="D190" s="15"/>
      <c r="E190" s="14"/>
      <c r="F190" s="14"/>
      <c r="G190" s="15"/>
      <c r="H190" s="68"/>
      <c r="I190" s="15"/>
      <c r="J190" s="15"/>
      <c r="K190" s="15"/>
      <c r="L190" s="15"/>
      <c r="M190" s="14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</row>
    <row r="191" ht="15.75" customHeight="1">
      <c r="A191" s="15"/>
      <c r="B191" s="15"/>
      <c r="C191" s="15"/>
      <c r="D191" s="15"/>
      <c r="E191" s="14"/>
      <c r="F191" s="14"/>
      <c r="G191" s="15"/>
      <c r="H191" s="68"/>
      <c r="I191" s="15"/>
      <c r="J191" s="15"/>
      <c r="K191" s="15"/>
      <c r="L191" s="15"/>
      <c r="M191" s="14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</row>
    <row r="192" ht="15.75" customHeight="1">
      <c r="A192" s="15"/>
      <c r="B192" s="15"/>
      <c r="C192" s="15"/>
      <c r="D192" s="15"/>
      <c r="E192" s="14"/>
      <c r="F192" s="14"/>
      <c r="G192" s="15"/>
      <c r="H192" s="68"/>
      <c r="I192" s="15"/>
      <c r="J192" s="15"/>
      <c r="K192" s="15"/>
      <c r="L192" s="15"/>
      <c r="M192" s="14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</row>
    <row r="193" ht="15.75" customHeight="1">
      <c r="A193" s="15"/>
      <c r="B193" s="15"/>
      <c r="C193" s="15"/>
      <c r="D193" s="15"/>
      <c r="E193" s="14"/>
      <c r="F193" s="14"/>
      <c r="G193" s="15"/>
      <c r="H193" s="68"/>
      <c r="I193" s="15"/>
      <c r="J193" s="15"/>
      <c r="K193" s="15"/>
      <c r="L193" s="15"/>
      <c r="M193" s="14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</row>
    <row r="194" ht="15.75" customHeight="1">
      <c r="A194" s="15"/>
      <c r="B194" s="15"/>
      <c r="C194" s="15"/>
      <c r="D194" s="15"/>
      <c r="E194" s="14"/>
      <c r="F194" s="14"/>
      <c r="G194" s="15"/>
      <c r="H194" s="68"/>
      <c r="I194" s="15"/>
      <c r="J194" s="15"/>
      <c r="K194" s="15"/>
      <c r="L194" s="15"/>
      <c r="M194" s="14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</row>
    <row r="195" ht="15.75" customHeight="1">
      <c r="A195" s="15"/>
      <c r="B195" s="15"/>
      <c r="C195" s="15"/>
      <c r="D195" s="15"/>
      <c r="E195" s="14"/>
      <c r="F195" s="14"/>
      <c r="G195" s="15"/>
      <c r="H195" s="68"/>
      <c r="I195" s="15"/>
      <c r="J195" s="15"/>
      <c r="K195" s="15"/>
      <c r="L195" s="15"/>
      <c r="M195" s="14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</row>
    <row r="196" ht="15.75" customHeight="1">
      <c r="A196" s="15"/>
      <c r="B196" s="15"/>
      <c r="C196" s="15"/>
      <c r="D196" s="15"/>
      <c r="E196" s="14"/>
      <c r="F196" s="14"/>
      <c r="G196" s="15"/>
      <c r="H196" s="68"/>
      <c r="I196" s="15"/>
      <c r="J196" s="15"/>
      <c r="K196" s="15"/>
      <c r="L196" s="15"/>
      <c r="M196" s="14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</row>
    <row r="197" ht="15.75" customHeight="1">
      <c r="A197" s="15"/>
      <c r="B197" s="15"/>
      <c r="C197" s="15"/>
      <c r="D197" s="15"/>
      <c r="E197" s="14"/>
      <c r="F197" s="14"/>
      <c r="G197" s="15"/>
      <c r="H197" s="68"/>
      <c r="I197" s="15"/>
      <c r="J197" s="15"/>
      <c r="K197" s="15"/>
      <c r="L197" s="15"/>
      <c r="M197" s="14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</row>
    <row r="198" ht="15.75" customHeight="1">
      <c r="A198" s="15"/>
      <c r="B198" s="15"/>
      <c r="C198" s="15"/>
      <c r="D198" s="15"/>
      <c r="E198" s="14"/>
      <c r="F198" s="14"/>
      <c r="G198" s="15"/>
      <c r="H198" s="68"/>
      <c r="I198" s="15"/>
      <c r="J198" s="15"/>
      <c r="K198" s="15"/>
      <c r="L198" s="15"/>
      <c r="M198" s="14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</row>
    <row r="199" ht="15.75" customHeight="1">
      <c r="A199" s="15"/>
      <c r="B199" s="15"/>
      <c r="C199" s="15"/>
      <c r="D199" s="15"/>
      <c r="E199" s="14"/>
      <c r="F199" s="14"/>
      <c r="G199" s="15"/>
      <c r="H199" s="68"/>
      <c r="I199" s="15"/>
      <c r="J199" s="15"/>
      <c r="K199" s="15"/>
      <c r="L199" s="15"/>
      <c r="M199" s="14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</row>
    <row r="200" ht="15.75" customHeight="1">
      <c r="A200" s="15"/>
      <c r="B200" s="15"/>
      <c r="C200" s="15"/>
      <c r="D200" s="15"/>
      <c r="E200" s="14"/>
      <c r="F200" s="14"/>
      <c r="G200" s="15"/>
      <c r="H200" s="68"/>
      <c r="I200" s="15"/>
      <c r="J200" s="15"/>
      <c r="K200" s="15"/>
      <c r="L200" s="15"/>
      <c r="M200" s="14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</row>
    <row r="201" ht="15.75" customHeight="1">
      <c r="A201" s="15"/>
      <c r="B201" s="15"/>
      <c r="C201" s="15"/>
      <c r="D201" s="15"/>
      <c r="E201" s="14"/>
      <c r="F201" s="14"/>
      <c r="G201" s="15"/>
      <c r="H201" s="68"/>
      <c r="I201" s="15"/>
      <c r="J201" s="15"/>
      <c r="K201" s="15"/>
      <c r="L201" s="15"/>
      <c r="M201" s="14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</row>
    <row r="202" ht="15.75" customHeight="1">
      <c r="A202" s="15"/>
      <c r="B202" s="15"/>
      <c r="C202" s="15"/>
      <c r="D202" s="15"/>
      <c r="E202" s="14"/>
      <c r="F202" s="14"/>
      <c r="G202" s="15"/>
      <c r="H202" s="68"/>
      <c r="I202" s="15"/>
      <c r="J202" s="15"/>
      <c r="K202" s="15"/>
      <c r="L202" s="15"/>
      <c r="M202" s="14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</row>
    <row r="203" ht="15.75" customHeight="1">
      <c r="A203" s="15"/>
      <c r="B203" s="15"/>
      <c r="C203" s="15"/>
      <c r="D203" s="15"/>
      <c r="E203" s="14"/>
      <c r="F203" s="14"/>
      <c r="G203" s="15"/>
      <c r="H203" s="68"/>
      <c r="I203" s="15"/>
      <c r="J203" s="15"/>
      <c r="K203" s="15"/>
      <c r="L203" s="15"/>
      <c r="M203" s="14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</row>
    <row r="204" ht="15.75" customHeight="1">
      <c r="A204" s="15"/>
      <c r="B204" s="15"/>
      <c r="C204" s="15"/>
      <c r="D204" s="15"/>
      <c r="E204" s="14"/>
      <c r="F204" s="14"/>
      <c r="G204" s="15"/>
      <c r="H204" s="68"/>
      <c r="I204" s="15"/>
      <c r="J204" s="15"/>
      <c r="K204" s="15"/>
      <c r="L204" s="15"/>
      <c r="M204" s="14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</row>
    <row r="205" ht="15.75" customHeight="1">
      <c r="A205" s="15"/>
      <c r="B205" s="15"/>
      <c r="C205" s="15"/>
      <c r="D205" s="15"/>
      <c r="E205" s="14"/>
      <c r="F205" s="14"/>
      <c r="G205" s="15"/>
      <c r="H205" s="68"/>
      <c r="I205" s="15"/>
      <c r="J205" s="15"/>
      <c r="K205" s="15"/>
      <c r="L205" s="15"/>
      <c r="M205" s="14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</row>
    <row r="206" ht="15.75" customHeight="1">
      <c r="A206" s="15"/>
      <c r="B206" s="15"/>
      <c r="C206" s="15"/>
      <c r="D206" s="15"/>
      <c r="E206" s="14"/>
      <c r="F206" s="14"/>
      <c r="G206" s="15"/>
      <c r="H206" s="68"/>
      <c r="I206" s="15"/>
      <c r="J206" s="15"/>
      <c r="K206" s="15"/>
      <c r="L206" s="15"/>
      <c r="M206" s="14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</row>
    <row r="207" ht="15.75" customHeight="1">
      <c r="A207" s="15"/>
      <c r="B207" s="15"/>
      <c r="C207" s="15"/>
      <c r="D207" s="15"/>
      <c r="E207" s="14"/>
      <c r="F207" s="14"/>
      <c r="G207" s="15"/>
      <c r="H207" s="68"/>
      <c r="I207" s="15"/>
      <c r="J207" s="15"/>
      <c r="K207" s="15"/>
      <c r="L207" s="15"/>
      <c r="M207" s="14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</row>
    <row r="208" ht="15.75" customHeight="1">
      <c r="A208" s="15"/>
      <c r="B208" s="15"/>
      <c r="C208" s="15"/>
      <c r="D208" s="15"/>
      <c r="E208" s="14"/>
      <c r="F208" s="14"/>
      <c r="G208" s="15"/>
      <c r="H208" s="68"/>
      <c r="I208" s="15"/>
      <c r="J208" s="15"/>
      <c r="K208" s="15"/>
      <c r="L208" s="15"/>
      <c r="M208" s="14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</row>
    <row r="209" ht="15.75" customHeight="1">
      <c r="A209" s="69"/>
      <c r="B209" s="15"/>
      <c r="C209" s="15"/>
      <c r="D209" s="15"/>
      <c r="E209" s="14"/>
      <c r="F209" s="14"/>
      <c r="G209" s="15"/>
      <c r="H209" s="68"/>
      <c r="I209" s="15"/>
      <c r="J209" s="15"/>
      <c r="K209" s="15"/>
      <c r="L209" s="15"/>
      <c r="M209" s="14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</row>
    <row r="210" ht="15.75" customHeight="1">
      <c r="A210" s="15"/>
      <c r="B210" s="15"/>
      <c r="C210" s="15"/>
      <c r="D210" s="15"/>
      <c r="E210" s="14"/>
      <c r="F210" s="14"/>
      <c r="G210" s="15"/>
      <c r="H210" s="68"/>
      <c r="I210" s="15"/>
      <c r="J210" s="15"/>
      <c r="K210" s="15"/>
      <c r="L210" s="15"/>
      <c r="M210" s="14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</row>
    <row r="211" ht="15.75" customHeight="1">
      <c r="A211" s="15"/>
      <c r="B211" s="15"/>
      <c r="C211" s="15"/>
      <c r="D211" s="15"/>
      <c r="E211" s="14"/>
      <c r="F211" s="14"/>
      <c r="G211" s="15"/>
      <c r="H211" s="68"/>
      <c r="I211" s="15"/>
      <c r="J211" s="15"/>
      <c r="K211" s="15"/>
      <c r="L211" s="15"/>
      <c r="M211" s="14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</row>
    <row r="212" ht="15.75" customHeight="1">
      <c r="A212" s="15"/>
      <c r="B212" s="15"/>
      <c r="C212" s="15"/>
      <c r="D212" s="15"/>
      <c r="E212" s="14"/>
      <c r="F212" s="14"/>
      <c r="G212" s="15"/>
      <c r="H212" s="68"/>
      <c r="I212" s="15"/>
      <c r="J212" s="15"/>
      <c r="K212" s="15"/>
      <c r="L212" s="15"/>
      <c r="M212" s="14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</row>
    <row r="213" ht="15.75" customHeight="1">
      <c r="A213" s="15"/>
      <c r="B213" s="15"/>
      <c r="C213" s="15"/>
      <c r="D213" s="15"/>
      <c r="E213" s="14"/>
      <c r="F213" s="14"/>
      <c r="G213" s="15"/>
      <c r="H213" s="68"/>
      <c r="I213" s="15"/>
      <c r="J213" s="15"/>
      <c r="K213" s="15"/>
      <c r="L213" s="15"/>
      <c r="M213" s="14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</row>
    <row r="214" ht="15.75" customHeight="1">
      <c r="A214" s="15"/>
      <c r="B214" s="15"/>
      <c r="C214" s="15"/>
      <c r="D214" s="15"/>
      <c r="E214" s="14"/>
      <c r="F214" s="14"/>
      <c r="G214" s="15"/>
      <c r="H214" s="68"/>
      <c r="I214" s="15"/>
      <c r="J214" s="15"/>
      <c r="K214" s="15"/>
      <c r="L214" s="15"/>
      <c r="M214" s="14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</row>
    <row r="215" ht="15.75" customHeight="1">
      <c r="A215" s="15"/>
      <c r="B215" s="15"/>
      <c r="C215" s="15"/>
      <c r="D215" s="15"/>
      <c r="E215" s="14"/>
      <c r="F215" s="14"/>
      <c r="G215" s="15"/>
      <c r="H215" s="68"/>
      <c r="I215" s="15"/>
      <c r="J215" s="15"/>
      <c r="K215" s="15"/>
      <c r="L215" s="15"/>
      <c r="M215" s="14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</row>
    <row r="216" ht="15.75" customHeight="1">
      <c r="A216" s="15"/>
      <c r="B216" s="15"/>
      <c r="C216" s="15"/>
      <c r="D216" s="15"/>
      <c r="E216" s="14"/>
      <c r="F216" s="14"/>
      <c r="G216" s="15"/>
      <c r="H216" s="68"/>
      <c r="I216" s="15"/>
      <c r="J216" s="15"/>
      <c r="K216" s="15"/>
      <c r="L216" s="15"/>
      <c r="M216" s="14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</row>
    <row r="217" ht="15.75" customHeight="1">
      <c r="A217" s="15"/>
      <c r="B217" s="15"/>
      <c r="C217" s="15"/>
      <c r="D217" s="15"/>
      <c r="E217" s="14"/>
      <c r="F217" s="14"/>
      <c r="G217" s="15"/>
      <c r="H217" s="68"/>
      <c r="I217" s="15"/>
      <c r="J217" s="15"/>
      <c r="K217" s="15"/>
      <c r="L217" s="15"/>
      <c r="M217" s="14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</row>
    <row r="218" ht="15.75" customHeight="1">
      <c r="A218" s="15"/>
      <c r="B218" s="15"/>
      <c r="C218" s="15"/>
      <c r="D218" s="15"/>
      <c r="E218" s="14"/>
      <c r="F218" s="14"/>
      <c r="G218" s="15"/>
      <c r="H218" s="68"/>
      <c r="I218" s="15"/>
      <c r="J218" s="15"/>
      <c r="K218" s="15"/>
      <c r="L218" s="15"/>
      <c r="M218" s="14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</row>
    <row r="219" ht="15.75" customHeight="1">
      <c r="A219" s="15"/>
      <c r="B219" s="15"/>
      <c r="C219" s="15"/>
      <c r="D219" s="15"/>
      <c r="E219" s="14"/>
      <c r="F219" s="14"/>
      <c r="G219" s="15"/>
      <c r="H219" s="68"/>
      <c r="I219" s="15"/>
      <c r="J219" s="15"/>
      <c r="K219" s="15"/>
      <c r="L219" s="15"/>
      <c r="M219" s="14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</row>
    <row r="220" ht="15.75" customHeight="1">
      <c r="A220" s="15"/>
      <c r="B220" s="15"/>
      <c r="C220" s="15"/>
      <c r="D220" s="15"/>
      <c r="E220" s="14"/>
      <c r="F220" s="14"/>
      <c r="G220" s="15"/>
      <c r="H220" s="68"/>
      <c r="I220" s="15"/>
      <c r="J220" s="15"/>
      <c r="K220" s="15"/>
      <c r="L220" s="15"/>
      <c r="M220" s="14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</row>
    <row r="221" ht="15.75" customHeight="1">
      <c r="A221" s="15"/>
      <c r="B221" s="15"/>
      <c r="C221" s="15"/>
      <c r="D221" s="15"/>
      <c r="E221" s="14"/>
      <c r="F221" s="14"/>
      <c r="G221" s="15"/>
      <c r="H221" s="68"/>
      <c r="I221" s="15"/>
      <c r="J221" s="15"/>
      <c r="K221" s="15"/>
      <c r="L221" s="15"/>
      <c r="M221" s="14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</row>
    <row r="222" ht="15.75" customHeight="1">
      <c r="A222" s="15"/>
      <c r="B222" s="15"/>
      <c r="C222" s="15"/>
      <c r="D222" s="15"/>
      <c r="E222" s="14"/>
      <c r="F222" s="14"/>
      <c r="G222" s="15"/>
      <c r="H222" s="68"/>
      <c r="I222" s="15"/>
      <c r="J222" s="15"/>
      <c r="K222" s="15"/>
      <c r="L222" s="15"/>
      <c r="M222" s="14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</row>
    <row r="223" ht="15.75" customHeight="1">
      <c r="A223" s="15"/>
      <c r="B223" s="15"/>
      <c r="C223" s="15"/>
      <c r="D223" s="15"/>
      <c r="E223" s="14"/>
      <c r="F223" s="14"/>
      <c r="G223" s="15"/>
      <c r="H223" s="68"/>
      <c r="I223" s="15"/>
      <c r="J223" s="15"/>
      <c r="K223" s="15"/>
      <c r="L223" s="15"/>
      <c r="M223" s="14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</row>
    <row r="224" ht="15.75" customHeight="1">
      <c r="A224" s="15"/>
      <c r="B224" s="15"/>
      <c r="C224" s="15"/>
      <c r="D224" s="15"/>
      <c r="E224" s="14"/>
      <c r="F224" s="14"/>
      <c r="G224" s="15"/>
      <c r="H224" s="68"/>
      <c r="I224" s="15"/>
      <c r="J224" s="15"/>
      <c r="K224" s="15"/>
      <c r="L224" s="15"/>
      <c r="M224" s="14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</row>
    <row r="225" ht="15.75" customHeight="1">
      <c r="A225" s="15"/>
      <c r="B225" s="15"/>
      <c r="C225" s="15"/>
      <c r="D225" s="15"/>
      <c r="E225" s="14"/>
      <c r="F225" s="14"/>
      <c r="G225" s="15"/>
      <c r="H225" s="68"/>
      <c r="I225" s="15"/>
      <c r="J225" s="15"/>
      <c r="K225" s="15"/>
      <c r="L225" s="15"/>
      <c r="M225" s="14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</row>
    <row r="226" ht="15.75" customHeight="1">
      <c r="A226" s="15"/>
      <c r="B226" s="15"/>
      <c r="C226" s="15"/>
      <c r="D226" s="15"/>
      <c r="E226" s="14"/>
      <c r="F226" s="14"/>
      <c r="G226" s="15"/>
      <c r="H226" s="68"/>
      <c r="I226" s="15"/>
      <c r="J226" s="15"/>
      <c r="K226" s="15"/>
      <c r="L226" s="15"/>
      <c r="M226" s="14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</row>
    <row r="227" ht="15.75" customHeight="1">
      <c r="A227" s="15"/>
      <c r="B227" s="15"/>
      <c r="C227" s="15"/>
      <c r="D227" s="15"/>
      <c r="E227" s="14"/>
      <c r="F227" s="14"/>
      <c r="G227" s="15"/>
      <c r="H227" s="68"/>
      <c r="I227" s="15"/>
      <c r="J227" s="15"/>
      <c r="K227" s="15"/>
      <c r="L227" s="15"/>
      <c r="M227" s="14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</row>
    <row r="228" ht="15.75" customHeight="1">
      <c r="A228" s="15"/>
      <c r="B228" s="15"/>
      <c r="C228" s="15"/>
      <c r="D228" s="15"/>
      <c r="E228" s="14"/>
      <c r="F228" s="14"/>
      <c r="G228" s="15"/>
      <c r="H228" s="68"/>
      <c r="I228" s="15"/>
      <c r="J228" s="15"/>
      <c r="K228" s="15"/>
      <c r="L228" s="15"/>
      <c r="M228" s="14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</row>
    <row r="229" ht="15.75" customHeight="1">
      <c r="A229" s="15"/>
      <c r="B229" s="15"/>
      <c r="C229" s="15"/>
      <c r="D229" s="15"/>
      <c r="E229" s="14"/>
      <c r="F229" s="14"/>
      <c r="G229" s="15"/>
      <c r="H229" s="68"/>
      <c r="I229" s="15"/>
      <c r="J229" s="15"/>
      <c r="K229" s="15"/>
      <c r="L229" s="15"/>
      <c r="M229" s="14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</row>
    <row r="230" ht="15.75" customHeight="1">
      <c r="A230" s="15"/>
      <c r="B230" s="15"/>
      <c r="C230" s="15"/>
      <c r="D230" s="15"/>
      <c r="E230" s="14"/>
      <c r="F230" s="14"/>
      <c r="G230" s="15"/>
      <c r="H230" s="68"/>
      <c r="I230" s="15"/>
      <c r="J230" s="15"/>
      <c r="K230" s="15"/>
      <c r="L230" s="15"/>
      <c r="M230" s="14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</row>
    <row r="231" ht="15.75" customHeight="1">
      <c r="A231" s="15"/>
      <c r="B231" s="15"/>
      <c r="C231" s="15"/>
      <c r="D231" s="15"/>
      <c r="E231" s="14"/>
      <c r="F231" s="14"/>
      <c r="G231" s="15"/>
      <c r="H231" s="68"/>
      <c r="I231" s="15"/>
      <c r="J231" s="15"/>
      <c r="K231" s="15"/>
      <c r="L231" s="15"/>
      <c r="M231" s="14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</row>
    <row r="232" ht="15.75" customHeight="1">
      <c r="A232" s="15"/>
      <c r="B232" s="15"/>
      <c r="C232" s="15"/>
      <c r="D232" s="15"/>
      <c r="E232" s="14"/>
      <c r="F232" s="14"/>
      <c r="G232" s="15"/>
      <c r="H232" s="68"/>
      <c r="I232" s="15"/>
      <c r="J232" s="15"/>
      <c r="K232" s="15"/>
      <c r="L232" s="15"/>
      <c r="M232" s="14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</row>
    <row r="233" ht="15.75" customHeight="1">
      <c r="A233" s="15"/>
      <c r="B233" s="15"/>
      <c r="C233" s="15"/>
      <c r="D233" s="15"/>
      <c r="E233" s="14"/>
      <c r="F233" s="14"/>
      <c r="G233" s="15"/>
      <c r="H233" s="68"/>
      <c r="I233" s="15"/>
      <c r="J233" s="15"/>
      <c r="K233" s="15"/>
      <c r="L233" s="15"/>
      <c r="M233" s="14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</row>
    <row r="234" ht="15.75" customHeight="1">
      <c r="A234" s="15"/>
      <c r="B234" s="15"/>
      <c r="C234" s="15"/>
      <c r="D234" s="15"/>
      <c r="E234" s="14"/>
      <c r="F234" s="14"/>
      <c r="G234" s="15"/>
      <c r="H234" s="68"/>
      <c r="I234" s="15"/>
      <c r="J234" s="15"/>
      <c r="K234" s="15"/>
      <c r="L234" s="15"/>
      <c r="M234" s="14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</row>
    <row r="235" ht="15.75" customHeight="1">
      <c r="A235" s="15"/>
      <c r="B235" s="15"/>
      <c r="C235" s="15"/>
      <c r="D235" s="15"/>
      <c r="E235" s="14"/>
      <c r="F235" s="14"/>
      <c r="G235" s="15"/>
      <c r="H235" s="68"/>
      <c r="I235" s="15"/>
      <c r="J235" s="15"/>
      <c r="K235" s="15"/>
      <c r="L235" s="15"/>
      <c r="M235" s="14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</row>
    <row r="236" ht="15.75" customHeight="1">
      <c r="A236" s="15"/>
      <c r="B236" s="15"/>
      <c r="C236" s="15"/>
      <c r="D236" s="15"/>
      <c r="E236" s="14"/>
      <c r="F236" s="14"/>
      <c r="G236" s="15"/>
      <c r="H236" s="68"/>
      <c r="I236" s="15"/>
      <c r="J236" s="15"/>
      <c r="K236" s="15"/>
      <c r="L236" s="15"/>
      <c r="M236" s="14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</row>
    <row r="237" ht="15.75" customHeight="1">
      <c r="A237" s="15"/>
      <c r="B237" s="15"/>
      <c r="C237" s="15"/>
      <c r="D237" s="15"/>
      <c r="E237" s="14"/>
      <c r="F237" s="14"/>
      <c r="G237" s="15"/>
      <c r="H237" s="68"/>
      <c r="I237" s="15"/>
      <c r="J237" s="15"/>
      <c r="K237" s="15"/>
      <c r="L237" s="15"/>
      <c r="M237" s="14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</row>
    <row r="238" ht="15.75" customHeight="1">
      <c r="A238" s="15"/>
      <c r="B238" s="15"/>
      <c r="C238" s="15"/>
      <c r="D238" s="15"/>
      <c r="E238" s="14"/>
      <c r="F238" s="14"/>
      <c r="G238" s="15"/>
      <c r="H238" s="68"/>
      <c r="I238" s="15"/>
      <c r="J238" s="15"/>
      <c r="K238" s="15"/>
      <c r="L238" s="15"/>
      <c r="M238" s="14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</row>
    <row r="239" ht="15.75" customHeight="1">
      <c r="A239" s="15"/>
      <c r="B239" s="15"/>
      <c r="C239" s="15"/>
      <c r="D239" s="15"/>
      <c r="E239" s="14"/>
      <c r="F239" s="14"/>
      <c r="G239" s="15"/>
      <c r="H239" s="68"/>
      <c r="I239" s="15"/>
      <c r="J239" s="15"/>
      <c r="K239" s="15"/>
      <c r="L239" s="15"/>
      <c r="M239" s="14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</row>
    <row r="240" ht="15.75" customHeight="1">
      <c r="A240" s="15"/>
      <c r="B240" s="15"/>
      <c r="C240" s="15"/>
      <c r="D240" s="15"/>
      <c r="E240" s="14"/>
      <c r="F240" s="14"/>
      <c r="G240" s="15"/>
      <c r="H240" s="68"/>
      <c r="I240" s="15"/>
      <c r="J240" s="15"/>
      <c r="K240" s="15"/>
      <c r="L240" s="15"/>
      <c r="M240" s="14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</row>
    <row r="241" ht="15.75" customHeight="1">
      <c r="A241" s="15"/>
      <c r="B241" s="15"/>
      <c r="C241" s="15"/>
      <c r="D241" s="15"/>
      <c r="E241" s="14"/>
      <c r="F241" s="14"/>
      <c r="G241" s="15"/>
      <c r="H241" s="68"/>
      <c r="I241" s="15"/>
      <c r="J241" s="15"/>
      <c r="K241" s="15"/>
      <c r="L241" s="15"/>
      <c r="M241" s="14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</row>
    <row r="242" ht="15.75" customHeight="1">
      <c r="A242" s="15"/>
      <c r="B242" s="15"/>
      <c r="C242" s="15"/>
      <c r="D242" s="15"/>
      <c r="E242" s="14"/>
      <c r="F242" s="14"/>
      <c r="G242" s="15"/>
      <c r="H242" s="68"/>
      <c r="I242" s="15"/>
      <c r="J242" s="15"/>
      <c r="K242" s="15"/>
      <c r="L242" s="15"/>
      <c r="M242" s="14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</row>
    <row r="243" ht="15.75" customHeight="1">
      <c r="A243" s="15"/>
      <c r="B243" s="15"/>
      <c r="C243" s="15"/>
      <c r="D243" s="15"/>
      <c r="E243" s="14"/>
      <c r="F243" s="14"/>
      <c r="G243" s="15"/>
      <c r="H243" s="68"/>
      <c r="I243" s="15"/>
      <c r="J243" s="15"/>
      <c r="K243" s="15"/>
      <c r="L243" s="15"/>
      <c r="M243" s="14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</row>
    <row r="244" ht="15.75" customHeight="1">
      <c r="A244" s="15"/>
      <c r="B244" s="15"/>
      <c r="C244" s="15"/>
      <c r="D244" s="15"/>
      <c r="E244" s="14"/>
      <c r="F244" s="14"/>
      <c r="G244" s="15"/>
      <c r="H244" s="68"/>
      <c r="I244" s="15"/>
      <c r="J244" s="15"/>
      <c r="K244" s="15"/>
      <c r="L244" s="15"/>
      <c r="M244" s="14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</row>
    <row r="245" ht="15.75" customHeight="1">
      <c r="A245" s="15"/>
      <c r="B245" s="15"/>
      <c r="C245" s="15"/>
      <c r="D245" s="15"/>
      <c r="E245" s="14"/>
      <c r="F245" s="14"/>
      <c r="G245" s="15"/>
      <c r="H245" s="68"/>
      <c r="I245" s="15"/>
      <c r="J245" s="15"/>
      <c r="K245" s="15"/>
      <c r="L245" s="15"/>
      <c r="M245" s="14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</row>
    <row r="246" ht="15.75" customHeight="1">
      <c r="A246" s="15"/>
      <c r="B246" s="15"/>
      <c r="C246" s="15"/>
      <c r="D246" s="15"/>
      <c r="E246" s="14"/>
      <c r="F246" s="14"/>
      <c r="G246" s="15"/>
      <c r="H246" s="68"/>
      <c r="I246" s="15"/>
      <c r="J246" s="15"/>
      <c r="K246" s="15"/>
      <c r="L246" s="15"/>
      <c r="M246" s="14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</row>
    <row r="247" ht="15.75" customHeight="1">
      <c r="A247" s="15"/>
      <c r="B247" s="15"/>
      <c r="C247" s="15"/>
      <c r="D247" s="15"/>
      <c r="E247" s="14"/>
      <c r="F247" s="14"/>
      <c r="G247" s="15"/>
      <c r="H247" s="68"/>
      <c r="I247" s="15"/>
      <c r="J247" s="15"/>
      <c r="K247" s="15"/>
      <c r="L247" s="15"/>
      <c r="M247" s="14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</row>
    <row r="248" ht="15.75" customHeight="1">
      <c r="A248" s="15"/>
      <c r="B248" s="15"/>
      <c r="C248" s="15"/>
      <c r="D248" s="15"/>
      <c r="E248" s="14"/>
      <c r="F248" s="14"/>
      <c r="G248" s="15"/>
      <c r="H248" s="68"/>
      <c r="I248" s="15"/>
      <c r="J248" s="15"/>
      <c r="K248" s="15"/>
      <c r="L248" s="15"/>
      <c r="M248" s="14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</row>
    <row r="249" ht="15.75" customHeight="1">
      <c r="A249" s="15"/>
      <c r="B249" s="15"/>
      <c r="C249" s="15"/>
      <c r="D249" s="15"/>
      <c r="E249" s="14"/>
      <c r="F249" s="14"/>
      <c r="G249" s="15"/>
      <c r="H249" s="68"/>
      <c r="I249" s="15"/>
      <c r="J249" s="15"/>
      <c r="K249" s="15"/>
      <c r="L249" s="15"/>
      <c r="M249" s="14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</row>
    <row r="250" ht="15.75" customHeight="1">
      <c r="A250" s="15"/>
      <c r="B250" s="15"/>
      <c r="C250" s="15"/>
      <c r="D250" s="15"/>
      <c r="E250" s="14"/>
      <c r="F250" s="14"/>
      <c r="G250" s="15"/>
      <c r="H250" s="68"/>
      <c r="I250" s="15"/>
      <c r="J250" s="15"/>
      <c r="K250" s="15"/>
      <c r="L250" s="15"/>
      <c r="M250" s="14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</row>
    <row r="251" ht="15.75" customHeight="1">
      <c r="A251" s="15"/>
      <c r="B251" s="15"/>
      <c r="C251" s="15"/>
      <c r="D251" s="15"/>
      <c r="E251" s="14"/>
      <c r="F251" s="14"/>
      <c r="G251" s="15"/>
      <c r="H251" s="68"/>
      <c r="I251" s="15"/>
      <c r="J251" s="15"/>
      <c r="K251" s="15"/>
      <c r="L251" s="15"/>
      <c r="M251" s="14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</row>
    <row r="252" ht="15.75" customHeight="1">
      <c r="A252" s="15"/>
      <c r="B252" s="15"/>
      <c r="C252" s="15"/>
      <c r="D252" s="15"/>
      <c r="E252" s="14"/>
      <c r="F252" s="14"/>
      <c r="G252" s="15"/>
      <c r="H252" s="68"/>
      <c r="I252" s="15"/>
      <c r="J252" s="15"/>
      <c r="K252" s="15"/>
      <c r="L252" s="15"/>
      <c r="M252" s="14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</row>
    <row r="253" ht="15.75" customHeight="1">
      <c r="A253" s="15"/>
      <c r="B253" s="15"/>
      <c r="C253" s="15"/>
      <c r="D253" s="15"/>
      <c r="E253" s="14"/>
      <c r="F253" s="14"/>
      <c r="G253" s="15"/>
      <c r="H253" s="68"/>
      <c r="I253" s="15"/>
      <c r="J253" s="15"/>
      <c r="K253" s="15"/>
      <c r="L253" s="15"/>
      <c r="M253" s="14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</row>
    <row r="254" ht="15.75" customHeight="1">
      <c r="A254" s="15"/>
      <c r="B254" s="15"/>
      <c r="C254" s="15"/>
      <c r="D254" s="15"/>
      <c r="E254" s="14"/>
      <c r="F254" s="14"/>
      <c r="G254" s="15"/>
      <c r="H254" s="68"/>
      <c r="I254" s="15"/>
      <c r="J254" s="15"/>
      <c r="K254" s="15"/>
      <c r="L254" s="15"/>
      <c r="M254" s="14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</row>
    <row r="255" ht="15.75" customHeight="1">
      <c r="A255" s="15"/>
      <c r="B255" s="15"/>
      <c r="C255" s="15"/>
      <c r="D255" s="15"/>
      <c r="E255" s="14"/>
      <c r="F255" s="14"/>
      <c r="G255" s="15"/>
      <c r="H255" s="68"/>
      <c r="I255" s="15"/>
      <c r="J255" s="15"/>
      <c r="K255" s="15"/>
      <c r="L255" s="15"/>
      <c r="M255" s="14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</row>
    <row r="256" ht="15.75" customHeight="1">
      <c r="A256" s="15"/>
      <c r="B256" s="15"/>
      <c r="C256" s="15"/>
      <c r="D256" s="15"/>
      <c r="E256" s="14"/>
      <c r="F256" s="14"/>
      <c r="G256" s="15"/>
      <c r="H256" s="68"/>
      <c r="I256" s="15"/>
      <c r="J256" s="15"/>
      <c r="K256" s="15"/>
      <c r="L256" s="15"/>
      <c r="M256" s="14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</row>
    <row r="257" ht="15.75" customHeight="1">
      <c r="A257" s="15"/>
      <c r="B257" s="15"/>
      <c r="C257" s="15"/>
      <c r="D257" s="15"/>
      <c r="E257" s="14"/>
      <c r="F257" s="14"/>
      <c r="G257" s="15"/>
      <c r="H257" s="68"/>
      <c r="I257" s="15"/>
      <c r="J257" s="15"/>
      <c r="K257" s="15"/>
      <c r="L257" s="15"/>
      <c r="M257" s="14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</row>
    <row r="258" ht="15.75" customHeight="1">
      <c r="A258" s="15"/>
      <c r="B258" s="15"/>
      <c r="C258" s="15"/>
      <c r="D258" s="15"/>
      <c r="E258" s="14"/>
      <c r="F258" s="14"/>
      <c r="G258" s="15"/>
      <c r="H258" s="68"/>
      <c r="I258" s="15"/>
      <c r="J258" s="15"/>
      <c r="K258" s="15"/>
      <c r="L258" s="15"/>
      <c r="M258" s="14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</row>
    <row r="259" ht="15.75" customHeight="1">
      <c r="A259" s="15"/>
      <c r="B259" s="15"/>
      <c r="C259" s="15"/>
      <c r="D259" s="15"/>
      <c r="E259" s="14"/>
      <c r="F259" s="14"/>
      <c r="G259" s="15"/>
      <c r="H259" s="68"/>
      <c r="I259" s="15"/>
      <c r="J259" s="15"/>
      <c r="K259" s="15"/>
      <c r="L259" s="15"/>
      <c r="M259" s="14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</row>
    <row r="260" ht="15.75" customHeight="1">
      <c r="A260" s="15"/>
      <c r="B260" s="15"/>
      <c r="C260" s="15"/>
      <c r="D260" s="15"/>
      <c r="E260" s="14"/>
      <c r="F260" s="14"/>
      <c r="G260" s="15"/>
      <c r="H260" s="68"/>
      <c r="I260" s="15"/>
      <c r="J260" s="15"/>
      <c r="K260" s="15"/>
      <c r="L260" s="15"/>
      <c r="M260" s="14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</row>
    <row r="261" ht="15.75" customHeight="1">
      <c r="A261" s="15"/>
      <c r="B261" s="15"/>
      <c r="C261" s="15"/>
      <c r="D261" s="15"/>
      <c r="E261" s="14"/>
      <c r="F261" s="14"/>
      <c r="G261" s="15"/>
      <c r="H261" s="68"/>
      <c r="I261" s="15"/>
      <c r="J261" s="15"/>
      <c r="K261" s="15"/>
      <c r="L261" s="15"/>
      <c r="M261" s="14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</row>
    <row r="262" ht="15.75" customHeight="1">
      <c r="A262" s="15"/>
      <c r="B262" s="15"/>
      <c r="C262" s="15"/>
      <c r="D262" s="15"/>
      <c r="E262" s="14"/>
      <c r="F262" s="14"/>
      <c r="G262" s="15"/>
      <c r="H262" s="68"/>
      <c r="I262" s="15"/>
      <c r="J262" s="15"/>
      <c r="K262" s="15"/>
      <c r="L262" s="15"/>
      <c r="M262" s="14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</row>
    <row r="263" ht="15.75" customHeight="1">
      <c r="A263" s="15"/>
      <c r="B263" s="15"/>
      <c r="C263" s="15"/>
      <c r="D263" s="15"/>
      <c r="E263" s="14"/>
      <c r="F263" s="14"/>
      <c r="G263" s="15"/>
      <c r="H263" s="68"/>
      <c r="I263" s="15"/>
      <c r="J263" s="15"/>
      <c r="K263" s="15"/>
      <c r="L263" s="15"/>
      <c r="M263" s="14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</row>
    <row r="264" ht="15.75" customHeight="1">
      <c r="A264" s="15"/>
      <c r="B264" s="15"/>
      <c r="C264" s="15"/>
      <c r="D264" s="15"/>
      <c r="E264" s="14"/>
      <c r="F264" s="14"/>
      <c r="G264" s="15"/>
      <c r="H264" s="68"/>
      <c r="I264" s="15"/>
      <c r="J264" s="15"/>
      <c r="K264" s="15"/>
      <c r="L264" s="15"/>
      <c r="M264" s="14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</row>
    <row r="265" ht="15.75" customHeight="1">
      <c r="A265" s="15"/>
      <c r="B265" s="15"/>
      <c r="C265" s="15"/>
      <c r="D265" s="15"/>
      <c r="E265" s="14"/>
      <c r="F265" s="14"/>
      <c r="G265" s="15"/>
      <c r="H265" s="68"/>
      <c r="I265" s="15"/>
      <c r="J265" s="15"/>
      <c r="K265" s="15"/>
      <c r="L265" s="15"/>
      <c r="M265" s="14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</row>
    <row r="266" ht="15.75" customHeight="1">
      <c r="A266" s="15"/>
      <c r="B266" s="15"/>
      <c r="C266" s="15"/>
      <c r="D266" s="15"/>
      <c r="E266" s="14"/>
      <c r="F266" s="14"/>
      <c r="G266" s="15"/>
      <c r="H266" s="68"/>
      <c r="I266" s="15"/>
      <c r="J266" s="15"/>
      <c r="K266" s="15"/>
      <c r="L266" s="15"/>
      <c r="M266" s="14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</row>
    <row r="267" ht="15.75" customHeight="1">
      <c r="A267" s="15"/>
      <c r="B267" s="15"/>
      <c r="C267" s="15"/>
      <c r="D267" s="15"/>
      <c r="E267" s="14"/>
      <c r="F267" s="14"/>
      <c r="G267" s="15"/>
      <c r="H267" s="68"/>
      <c r="I267" s="15"/>
      <c r="J267" s="15"/>
      <c r="K267" s="15"/>
      <c r="L267" s="15"/>
      <c r="M267" s="14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</row>
    <row r="268" ht="15.75" customHeight="1">
      <c r="A268" s="15"/>
      <c r="B268" s="15"/>
      <c r="C268" s="15"/>
      <c r="D268" s="15"/>
      <c r="E268" s="14"/>
      <c r="F268" s="14"/>
      <c r="G268" s="15"/>
      <c r="H268" s="68"/>
      <c r="I268" s="15"/>
      <c r="J268" s="15"/>
      <c r="K268" s="15"/>
      <c r="L268" s="15"/>
      <c r="M268" s="14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</row>
    <row r="269" ht="15.75" customHeight="1">
      <c r="A269" s="15"/>
      <c r="B269" s="15"/>
      <c r="C269" s="15"/>
      <c r="D269" s="15"/>
      <c r="E269" s="14"/>
      <c r="F269" s="14"/>
      <c r="G269" s="15"/>
      <c r="H269" s="68"/>
      <c r="I269" s="15"/>
      <c r="J269" s="15"/>
      <c r="K269" s="15"/>
      <c r="L269" s="15"/>
      <c r="M269" s="14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</row>
    <row r="270" ht="15.75" customHeight="1">
      <c r="A270" s="15"/>
      <c r="B270" s="15"/>
      <c r="C270" s="15"/>
      <c r="D270" s="15"/>
      <c r="E270" s="14"/>
      <c r="F270" s="14"/>
      <c r="G270" s="15"/>
      <c r="H270" s="68"/>
      <c r="I270" s="15"/>
      <c r="J270" s="15"/>
      <c r="K270" s="15"/>
      <c r="L270" s="15"/>
      <c r="M270" s="14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</row>
    <row r="271" ht="15.75" customHeight="1">
      <c r="A271" s="15"/>
      <c r="B271" s="15"/>
      <c r="C271" s="15"/>
      <c r="D271" s="15"/>
      <c r="E271" s="14"/>
      <c r="F271" s="14"/>
      <c r="G271" s="15"/>
      <c r="H271" s="68"/>
      <c r="I271" s="15"/>
      <c r="J271" s="15"/>
      <c r="K271" s="15"/>
      <c r="L271" s="15"/>
      <c r="M271" s="14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</row>
    <row r="272" ht="15.75" customHeight="1">
      <c r="A272" s="15"/>
      <c r="B272" s="15"/>
      <c r="C272" s="15"/>
      <c r="D272" s="15"/>
      <c r="E272" s="14"/>
      <c r="F272" s="14"/>
      <c r="G272" s="15"/>
      <c r="H272" s="68"/>
      <c r="I272" s="15"/>
      <c r="J272" s="15"/>
      <c r="K272" s="15"/>
      <c r="L272" s="15"/>
      <c r="M272" s="14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</row>
    <row r="273" ht="15.75" customHeight="1">
      <c r="A273" s="15"/>
      <c r="B273" s="15"/>
      <c r="C273" s="15"/>
      <c r="D273" s="15"/>
      <c r="E273" s="14"/>
      <c r="F273" s="14"/>
      <c r="G273" s="15"/>
      <c r="H273" s="68"/>
      <c r="I273" s="15"/>
      <c r="J273" s="15"/>
      <c r="K273" s="15"/>
      <c r="L273" s="15"/>
      <c r="M273" s="14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</row>
    <row r="274" ht="15.75" customHeight="1">
      <c r="A274" s="15"/>
      <c r="B274" s="15"/>
      <c r="C274" s="15"/>
      <c r="D274" s="15"/>
      <c r="E274" s="14"/>
      <c r="F274" s="14"/>
      <c r="G274" s="15"/>
      <c r="H274" s="68"/>
      <c r="I274" s="15"/>
      <c r="J274" s="15"/>
      <c r="K274" s="15"/>
      <c r="L274" s="15"/>
      <c r="M274" s="14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</row>
    <row r="275" ht="15.75" customHeight="1">
      <c r="A275" s="15"/>
      <c r="B275" s="15"/>
      <c r="C275" s="15"/>
      <c r="D275" s="15"/>
      <c r="E275" s="14"/>
      <c r="F275" s="14"/>
      <c r="G275" s="15"/>
      <c r="H275" s="68"/>
      <c r="I275" s="15"/>
      <c r="J275" s="15"/>
      <c r="K275" s="15"/>
      <c r="L275" s="15"/>
      <c r="M275" s="14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</row>
    <row r="276" ht="15.75" customHeight="1">
      <c r="A276" s="15"/>
      <c r="B276" s="15"/>
      <c r="C276" s="15"/>
      <c r="D276" s="15"/>
      <c r="E276" s="14"/>
      <c r="F276" s="14"/>
      <c r="G276" s="15"/>
      <c r="H276" s="68"/>
      <c r="I276" s="15"/>
      <c r="J276" s="15"/>
      <c r="K276" s="15"/>
      <c r="L276" s="15"/>
      <c r="M276" s="14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</row>
    <row r="277" ht="15.75" customHeight="1">
      <c r="A277" s="15"/>
      <c r="B277" s="15"/>
      <c r="C277" s="15"/>
      <c r="D277" s="15"/>
      <c r="E277" s="14"/>
      <c r="F277" s="14"/>
      <c r="G277" s="15"/>
      <c r="H277" s="68"/>
      <c r="I277" s="15"/>
      <c r="J277" s="15"/>
      <c r="K277" s="15"/>
      <c r="L277" s="15"/>
      <c r="M277" s="14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</row>
    <row r="278" ht="15.75" customHeight="1">
      <c r="A278" s="15"/>
      <c r="B278" s="15"/>
      <c r="C278" s="15"/>
      <c r="D278" s="15"/>
      <c r="E278" s="14"/>
      <c r="F278" s="14"/>
      <c r="G278" s="15"/>
      <c r="H278" s="68"/>
      <c r="I278" s="15"/>
      <c r="J278" s="15"/>
      <c r="K278" s="15"/>
      <c r="L278" s="15"/>
      <c r="M278" s="14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</row>
    <row r="279" ht="15.75" customHeight="1">
      <c r="A279" s="15"/>
      <c r="B279" s="15"/>
      <c r="C279" s="15"/>
      <c r="D279" s="15"/>
      <c r="E279" s="14"/>
      <c r="F279" s="14"/>
      <c r="G279" s="15"/>
      <c r="H279" s="68"/>
      <c r="I279" s="15"/>
      <c r="J279" s="15"/>
      <c r="K279" s="15"/>
      <c r="L279" s="15"/>
      <c r="M279" s="14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</row>
    <row r="280" ht="15.75" customHeight="1">
      <c r="A280" s="15"/>
      <c r="B280" s="15"/>
      <c r="C280" s="15"/>
      <c r="D280" s="15"/>
      <c r="E280" s="14"/>
      <c r="F280" s="14"/>
      <c r="G280" s="15"/>
      <c r="H280" s="68"/>
      <c r="I280" s="15"/>
      <c r="J280" s="15"/>
      <c r="K280" s="15"/>
      <c r="L280" s="15"/>
      <c r="M280" s="14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</row>
    <row r="281" ht="15.75" customHeight="1">
      <c r="A281" s="15"/>
      <c r="B281" s="15"/>
      <c r="C281" s="15"/>
      <c r="D281" s="15"/>
      <c r="E281" s="14"/>
      <c r="F281" s="14"/>
      <c r="G281" s="15"/>
      <c r="H281" s="68"/>
      <c r="I281" s="15"/>
      <c r="J281" s="15"/>
      <c r="K281" s="15"/>
      <c r="L281" s="15"/>
      <c r="M281" s="14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</row>
    <row r="282" ht="15.75" customHeight="1">
      <c r="A282" s="15"/>
      <c r="B282" s="15"/>
      <c r="C282" s="15"/>
      <c r="D282" s="15"/>
      <c r="E282" s="14"/>
      <c r="F282" s="14"/>
      <c r="G282" s="15"/>
      <c r="H282" s="68"/>
      <c r="I282" s="15"/>
      <c r="J282" s="15"/>
      <c r="K282" s="15"/>
      <c r="L282" s="15"/>
      <c r="M282" s="14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</row>
    <row r="283" ht="15.75" customHeight="1">
      <c r="A283" s="15"/>
      <c r="B283" s="15"/>
      <c r="C283" s="15"/>
      <c r="D283" s="15"/>
      <c r="E283" s="14"/>
      <c r="F283" s="14"/>
      <c r="G283" s="15"/>
      <c r="H283" s="68"/>
      <c r="I283" s="15"/>
      <c r="J283" s="15"/>
      <c r="K283" s="15"/>
      <c r="L283" s="15"/>
      <c r="M283" s="14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</row>
    <row r="284" ht="15.75" customHeight="1">
      <c r="A284" s="15"/>
      <c r="B284" s="15"/>
      <c r="C284" s="15"/>
      <c r="D284" s="15"/>
      <c r="E284" s="14"/>
      <c r="F284" s="14"/>
      <c r="G284" s="15"/>
      <c r="H284" s="68"/>
      <c r="I284" s="15"/>
      <c r="J284" s="15"/>
      <c r="K284" s="15"/>
      <c r="L284" s="15"/>
      <c r="M284" s="14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</row>
    <row r="285" ht="15.75" customHeight="1">
      <c r="A285" s="15"/>
      <c r="B285" s="15"/>
      <c r="C285" s="15"/>
      <c r="D285" s="15"/>
      <c r="E285" s="14"/>
      <c r="F285" s="14"/>
      <c r="G285" s="15"/>
      <c r="H285" s="68"/>
      <c r="I285" s="15"/>
      <c r="J285" s="15"/>
      <c r="K285" s="15"/>
      <c r="L285" s="15"/>
      <c r="M285" s="14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</row>
    <row r="286" ht="15.75" customHeight="1">
      <c r="A286" s="15"/>
      <c r="B286" s="15"/>
      <c r="C286" s="15"/>
      <c r="D286" s="15"/>
      <c r="E286" s="14"/>
      <c r="F286" s="14"/>
      <c r="G286" s="15"/>
      <c r="H286" s="68"/>
      <c r="I286" s="15"/>
      <c r="J286" s="15"/>
      <c r="K286" s="15"/>
      <c r="L286" s="15"/>
      <c r="M286" s="14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</row>
    <row r="287" ht="15.75" customHeight="1">
      <c r="A287" s="15"/>
      <c r="B287" s="15"/>
      <c r="C287" s="15"/>
      <c r="D287" s="15"/>
      <c r="E287" s="14"/>
      <c r="F287" s="14"/>
      <c r="G287" s="15"/>
      <c r="H287" s="68"/>
      <c r="I287" s="15"/>
      <c r="J287" s="15"/>
      <c r="K287" s="15"/>
      <c r="L287" s="15"/>
      <c r="M287" s="14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</row>
    <row r="288" ht="15.75" customHeight="1">
      <c r="A288" s="15"/>
      <c r="B288" s="15"/>
      <c r="C288" s="15"/>
      <c r="D288" s="15"/>
      <c r="E288" s="14"/>
      <c r="F288" s="14"/>
      <c r="G288" s="15"/>
      <c r="H288" s="68"/>
      <c r="I288" s="15"/>
      <c r="J288" s="15"/>
      <c r="K288" s="15"/>
      <c r="L288" s="15"/>
      <c r="M288" s="14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</row>
    <row r="289" ht="15.75" customHeight="1">
      <c r="A289" s="15"/>
      <c r="B289" s="15"/>
      <c r="C289" s="15"/>
      <c r="D289" s="15"/>
      <c r="E289" s="14"/>
      <c r="F289" s="14"/>
      <c r="G289" s="15"/>
      <c r="H289" s="68"/>
      <c r="I289" s="15"/>
      <c r="J289" s="15"/>
      <c r="K289" s="15"/>
      <c r="L289" s="15"/>
      <c r="M289" s="14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</row>
    <row r="290" ht="15.75" customHeight="1">
      <c r="A290" s="15"/>
      <c r="B290" s="15"/>
      <c r="C290" s="15"/>
      <c r="D290" s="15"/>
      <c r="E290" s="14"/>
      <c r="F290" s="14"/>
      <c r="G290" s="15"/>
      <c r="H290" s="68"/>
      <c r="I290" s="15"/>
      <c r="J290" s="15"/>
      <c r="K290" s="15"/>
      <c r="L290" s="15"/>
      <c r="M290" s="14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</row>
    <row r="291" ht="15.75" customHeight="1">
      <c r="A291" s="15"/>
      <c r="B291" s="15"/>
      <c r="C291" s="15"/>
      <c r="D291" s="15"/>
      <c r="E291" s="14"/>
      <c r="F291" s="14"/>
      <c r="G291" s="15"/>
      <c r="H291" s="68"/>
      <c r="I291" s="15"/>
      <c r="J291" s="15"/>
      <c r="K291" s="15"/>
      <c r="L291" s="15"/>
      <c r="M291" s="14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</row>
    <row r="292" ht="15.75" customHeight="1">
      <c r="A292" s="15"/>
      <c r="B292" s="15"/>
      <c r="C292" s="15"/>
      <c r="D292" s="15"/>
      <c r="E292" s="14"/>
      <c r="F292" s="14"/>
      <c r="G292" s="15"/>
      <c r="H292" s="68"/>
      <c r="I292" s="15"/>
      <c r="J292" s="15"/>
      <c r="K292" s="15"/>
      <c r="L292" s="15"/>
      <c r="M292" s="14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</row>
    <row r="293" ht="15.75" customHeight="1">
      <c r="A293" s="15"/>
      <c r="B293" s="15"/>
      <c r="C293" s="15"/>
      <c r="D293" s="15"/>
      <c r="E293" s="14"/>
      <c r="F293" s="14"/>
      <c r="G293" s="15"/>
      <c r="H293" s="68"/>
      <c r="I293" s="15"/>
      <c r="J293" s="15"/>
      <c r="K293" s="15"/>
      <c r="L293" s="15"/>
      <c r="M293" s="14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</row>
    <row r="294" ht="15.75" customHeight="1">
      <c r="A294" s="15"/>
      <c r="B294" s="15"/>
      <c r="C294" s="15"/>
      <c r="D294" s="15"/>
      <c r="E294" s="14"/>
      <c r="F294" s="14"/>
      <c r="G294" s="15"/>
      <c r="H294" s="68"/>
      <c r="I294" s="15"/>
      <c r="J294" s="15"/>
      <c r="K294" s="15"/>
      <c r="L294" s="15"/>
      <c r="M294" s="14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</row>
    <row r="295" ht="15.75" customHeight="1">
      <c r="A295" s="15"/>
      <c r="B295" s="15"/>
      <c r="C295" s="15"/>
      <c r="D295" s="15"/>
      <c r="E295" s="14"/>
      <c r="F295" s="14"/>
      <c r="G295" s="15"/>
      <c r="H295" s="68"/>
      <c r="I295" s="15"/>
      <c r="J295" s="15"/>
      <c r="K295" s="15"/>
      <c r="L295" s="15"/>
      <c r="M295" s="14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</row>
    <row r="296" ht="15.75" customHeight="1">
      <c r="A296" s="15"/>
      <c r="B296" s="15"/>
      <c r="C296" s="15"/>
      <c r="D296" s="15"/>
      <c r="E296" s="14"/>
      <c r="F296" s="14"/>
      <c r="G296" s="15"/>
      <c r="H296" s="68"/>
      <c r="I296" s="15"/>
      <c r="J296" s="15"/>
      <c r="K296" s="15"/>
      <c r="L296" s="15"/>
      <c r="M296" s="14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</row>
    <row r="297" ht="15.75" customHeight="1">
      <c r="A297" s="15"/>
      <c r="B297" s="15"/>
      <c r="C297" s="15"/>
      <c r="D297" s="15"/>
      <c r="E297" s="14"/>
      <c r="F297" s="14"/>
      <c r="G297" s="15"/>
      <c r="H297" s="68"/>
      <c r="I297" s="15"/>
      <c r="J297" s="15"/>
      <c r="K297" s="15"/>
      <c r="L297" s="15"/>
      <c r="M297" s="14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</row>
    <row r="298" ht="15.75" customHeight="1">
      <c r="A298" s="15"/>
      <c r="B298" s="15"/>
      <c r="C298" s="15"/>
      <c r="D298" s="15"/>
      <c r="E298" s="14"/>
      <c r="F298" s="14"/>
      <c r="G298" s="15"/>
      <c r="H298" s="68"/>
      <c r="I298" s="15"/>
      <c r="J298" s="15"/>
      <c r="K298" s="15"/>
      <c r="L298" s="15"/>
      <c r="M298" s="14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</row>
    <row r="299" ht="15.75" customHeight="1">
      <c r="A299" s="15"/>
      <c r="B299" s="15"/>
      <c r="C299" s="15"/>
      <c r="D299" s="15"/>
      <c r="E299" s="14"/>
      <c r="F299" s="14"/>
      <c r="G299" s="15"/>
      <c r="H299" s="68"/>
      <c r="I299" s="15"/>
      <c r="J299" s="15"/>
      <c r="K299" s="15"/>
      <c r="L299" s="15"/>
      <c r="M299" s="14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</row>
    <row r="300" ht="15.75" customHeight="1">
      <c r="A300" s="15"/>
      <c r="B300" s="15"/>
      <c r="C300" s="15"/>
      <c r="D300" s="15"/>
      <c r="E300" s="14"/>
      <c r="F300" s="14"/>
      <c r="G300" s="15"/>
      <c r="H300" s="68"/>
      <c r="I300" s="15"/>
      <c r="J300" s="15"/>
      <c r="K300" s="15"/>
      <c r="L300" s="15"/>
      <c r="M300" s="14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</row>
    <row r="301" ht="15.75" customHeight="1">
      <c r="A301" s="15"/>
      <c r="B301" s="15"/>
      <c r="C301" s="15"/>
      <c r="D301" s="15"/>
      <c r="E301" s="14"/>
      <c r="F301" s="14"/>
      <c r="G301" s="15"/>
      <c r="H301" s="68"/>
      <c r="I301" s="15"/>
      <c r="J301" s="15"/>
      <c r="K301" s="15"/>
      <c r="L301" s="15"/>
      <c r="M301" s="14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</row>
    <row r="302" ht="15.75" customHeight="1">
      <c r="A302" s="15"/>
      <c r="B302" s="15"/>
      <c r="C302" s="15"/>
      <c r="D302" s="15"/>
      <c r="E302" s="14"/>
      <c r="F302" s="14"/>
      <c r="G302" s="15"/>
      <c r="H302" s="68"/>
      <c r="I302" s="15"/>
      <c r="J302" s="15"/>
      <c r="K302" s="15"/>
      <c r="L302" s="15"/>
      <c r="M302" s="14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</row>
    <row r="303" ht="15.75" customHeight="1">
      <c r="A303" s="15"/>
      <c r="B303" s="15"/>
      <c r="C303" s="15"/>
      <c r="D303" s="15"/>
      <c r="E303" s="14"/>
      <c r="F303" s="14"/>
      <c r="G303" s="15"/>
      <c r="H303" s="68"/>
      <c r="I303" s="15"/>
      <c r="J303" s="15"/>
      <c r="K303" s="15"/>
      <c r="L303" s="15"/>
      <c r="M303" s="14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</row>
    <row r="304" ht="15.75" customHeight="1">
      <c r="A304" s="15"/>
      <c r="B304" s="15"/>
      <c r="C304" s="15"/>
      <c r="D304" s="15"/>
      <c r="E304" s="14"/>
      <c r="F304" s="14"/>
      <c r="G304" s="15"/>
      <c r="H304" s="68"/>
      <c r="I304" s="15"/>
      <c r="J304" s="15"/>
      <c r="K304" s="15"/>
      <c r="L304" s="15"/>
      <c r="M304" s="14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</row>
    <row r="305" ht="15.75" customHeight="1">
      <c r="A305" s="15"/>
      <c r="B305" s="15"/>
      <c r="C305" s="15"/>
      <c r="D305" s="15"/>
      <c r="E305" s="14"/>
      <c r="F305" s="14"/>
      <c r="G305" s="15"/>
      <c r="H305" s="68"/>
      <c r="I305" s="15"/>
      <c r="J305" s="15"/>
      <c r="K305" s="15"/>
      <c r="L305" s="15"/>
      <c r="M305" s="14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</row>
    <row r="306" ht="15.75" customHeight="1">
      <c r="A306" s="15"/>
      <c r="B306" s="15"/>
      <c r="C306" s="15"/>
      <c r="D306" s="15"/>
      <c r="E306" s="14"/>
      <c r="F306" s="14"/>
      <c r="G306" s="15"/>
      <c r="H306" s="68"/>
      <c r="I306" s="15"/>
      <c r="J306" s="15"/>
      <c r="K306" s="15"/>
      <c r="L306" s="15"/>
      <c r="M306" s="14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</row>
    <row r="307" ht="15.75" customHeight="1">
      <c r="A307" s="15"/>
      <c r="B307" s="15"/>
      <c r="C307" s="15"/>
      <c r="D307" s="15"/>
      <c r="E307" s="14"/>
      <c r="F307" s="14"/>
      <c r="G307" s="15"/>
      <c r="H307" s="68"/>
      <c r="I307" s="15"/>
      <c r="J307" s="15"/>
      <c r="K307" s="15"/>
      <c r="L307" s="15"/>
      <c r="M307" s="14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</row>
    <row r="308" ht="15.75" customHeight="1">
      <c r="A308" s="15"/>
      <c r="B308" s="15"/>
      <c r="C308" s="15"/>
      <c r="D308" s="15"/>
      <c r="E308" s="14"/>
      <c r="F308" s="14"/>
      <c r="G308" s="15"/>
      <c r="H308" s="68"/>
      <c r="I308" s="15"/>
      <c r="J308" s="15"/>
      <c r="K308" s="15"/>
      <c r="L308" s="15"/>
      <c r="M308" s="14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</row>
    <row r="309" ht="15.75" customHeight="1">
      <c r="A309" s="15"/>
      <c r="B309" s="15"/>
      <c r="C309" s="15"/>
      <c r="D309" s="15"/>
      <c r="E309" s="14"/>
      <c r="F309" s="14"/>
      <c r="G309" s="15"/>
      <c r="H309" s="68"/>
      <c r="I309" s="15"/>
      <c r="J309" s="15"/>
      <c r="K309" s="15"/>
      <c r="L309" s="15"/>
      <c r="M309" s="14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</row>
    <row r="310" ht="15.75" customHeight="1">
      <c r="A310" s="15"/>
      <c r="B310" s="15"/>
      <c r="C310" s="15"/>
      <c r="D310" s="15"/>
      <c r="E310" s="14"/>
      <c r="F310" s="14"/>
      <c r="G310" s="15"/>
      <c r="H310" s="68"/>
      <c r="I310" s="15"/>
      <c r="J310" s="15"/>
      <c r="K310" s="15"/>
      <c r="L310" s="15"/>
      <c r="M310" s="14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</row>
    <row r="311" ht="15.75" customHeight="1">
      <c r="A311" s="15"/>
      <c r="B311" s="15"/>
      <c r="C311" s="15"/>
      <c r="D311" s="15"/>
      <c r="E311" s="14"/>
      <c r="F311" s="14"/>
      <c r="G311" s="15"/>
      <c r="H311" s="68"/>
      <c r="I311" s="15"/>
      <c r="J311" s="15"/>
      <c r="K311" s="15"/>
      <c r="L311" s="15"/>
      <c r="M311" s="14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</row>
    <row r="312" ht="15.75" customHeight="1">
      <c r="A312" s="15"/>
      <c r="B312" s="15"/>
      <c r="C312" s="15"/>
      <c r="D312" s="15"/>
      <c r="E312" s="14"/>
      <c r="F312" s="14"/>
      <c r="G312" s="15"/>
      <c r="H312" s="68"/>
      <c r="I312" s="15"/>
      <c r="J312" s="15"/>
      <c r="K312" s="15"/>
      <c r="L312" s="15"/>
      <c r="M312" s="14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</row>
    <row r="313" ht="15.75" customHeight="1">
      <c r="A313" s="15"/>
      <c r="B313" s="15"/>
      <c r="C313" s="15"/>
      <c r="D313" s="15"/>
      <c r="E313" s="14"/>
      <c r="F313" s="14"/>
      <c r="G313" s="15"/>
      <c r="H313" s="68"/>
      <c r="I313" s="15"/>
      <c r="J313" s="15"/>
      <c r="K313" s="15"/>
      <c r="L313" s="15"/>
      <c r="M313" s="14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</row>
    <row r="314" ht="15.75" customHeight="1">
      <c r="A314" s="15"/>
      <c r="B314" s="15"/>
      <c r="C314" s="15"/>
      <c r="D314" s="15"/>
      <c r="E314" s="14"/>
      <c r="F314" s="14"/>
      <c r="G314" s="15"/>
      <c r="H314" s="68"/>
      <c r="I314" s="15"/>
      <c r="J314" s="15"/>
      <c r="K314" s="15"/>
      <c r="L314" s="15"/>
      <c r="M314" s="14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</row>
    <row r="315" ht="15.75" customHeight="1">
      <c r="A315" s="15"/>
      <c r="B315" s="15"/>
      <c r="C315" s="15"/>
      <c r="D315" s="15"/>
      <c r="E315" s="14"/>
      <c r="F315" s="14"/>
      <c r="G315" s="15"/>
      <c r="H315" s="68"/>
      <c r="I315" s="15"/>
      <c r="J315" s="15"/>
      <c r="K315" s="15"/>
      <c r="L315" s="15"/>
      <c r="M315" s="14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</row>
    <row r="316" ht="15.75" customHeight="1">
      <c r="A316" s="15"/>
      <c r="B316" s="15"/>
      <c r="C316" s="15"/>
      <c r="D316" s="15"/>
      <c r="E316" s="14"/>
      <c r="F316" s="14"/>
      <c r="G316" s="15"/>
      <c r="H316" s="68"/>
      <c r="I316" s="15"/>
      <c r="J316" s="15"/>
      <c r="K316" s="15"/>
      <c r="L316" s="15"/>
      <c r="M316" s="14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</row>
    <row r="317" ht="15.75" customHeight="1">
      <c r="A317" s="15"/>
      <c r="B317" s="15"/>
      <c r="C317" s="15"/>
      <c r="D317" s="15"/>
      <c r="E317" s="14"/>
      <c r="F317" s="14"/>
      <c r="G317" s="15"/>
      <c r="H317" s="68"/>
      <c r="I317" s="15"/>
      <c r="J317" s="15"/>
      <c r="K317" s="15"/>
      <c r="L317" s="15"/>
      <c r="M317" s="14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</row>
    <row r="318" ht="15.75" customHeight="1">
      <c r="A318" s="15"/>
      <c r="B318" s="15"/>
      <c r="C318" s="15"/>
      <c r="D318" s="15"/>
      <c r="E318" s="14"/>
      <c r="F318" s="14"/>
      <c r="G318" s="15"/>
      <c r="H318" s="68"/>
      <c r="I318" s="15"/>
      <c r="J318" s="15"/>
      <c r="K318" s="15"/>
      <c r="L318" s="15"/>
      <c r="M318" s="14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</row>
    <row r="319" ht="15.75" customHeight="1">
      <c r="A319" s="15"/>
      <c r="B319" s="15"/>
      <c r="C319" s="15"/>
      <c r="D319" s="15"/>
      <c r="E319" s="14"/>
      <c r="F319" s="14"/>
      <c r="G319" s="15"/>
      <c r="H319" s="68"/>
      <c r="I319" s="15"/>
      <c r="J319" s="15"/>
      <c r="K319" s="15"/>
      <c r="L319" s="15"/>
      <c r="M319" s="14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</row>
    <row r="320" ht="15.75" customHeight="1">
      <c r="A320" s="15"/>
      <c r="B320" s="15"/>
      <c r="C320" s="15"/>
      <c r="D320" s="15"/>
      <c r="E320" s="14"/>
      <c r="F320" s="14"/>
      <c r="G320" s="15"/>
      <c r="H320" s="68"/>
      <c r="I320" s="15"/>
      <c r="J320" s="15"/>
      <c r="K320" s="15"/>
      <c r="L320" s="15"/>
      <c r="M320" s="14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dataValidations>
    <dataValidation type="list" allowBlank="1" showErrorMessage="1" sqref="F2:F119">
      <formula1>"XL,L,M,S,XS,XXS"</formula1>
    </dataValidation>
    <dataValidation type="list" allowBlank="1" sqref="I2:I119">
      <formula1>"Phase 1,Phase 2,Phase 3"</formula1>
    </dataValidation>
    <dataValidation type="list" allowBlank="1" showErrorMessage="1" sqref="H2:H119">
      <formula1>"Web,Mobile Hybrid,Web and Mobile,Responsive"</formula1>
    </dataValidation>
    <dataValidation type="list" allowBlank="1" showErrorMessage="1" sqref="G2:G119">
      <formula1>"Frontend,Backend"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19.0"/>
    <col customWidth="1" min="2" max="2" width="21.13"/>
    <col customWidth="1" min="3" max="3" width="15.5"/>
    <col customWidth="1" min="4" max="4" width="15.88"/>
    <col customWidth="1" min="5" max="5" width="11.0"/>
    <col customWidth="1" min="6" max="6" width="16.5"/>
    <col customWidth="1" min="7" max="7" width="8.38"/>
    <col customWidth="1" min="8" max="8" width="24.38"/>
    <col customWidth="1" min="9" max="9" width="20.75"/>
  </cols>
  <sheetData>
    <row r="1" ht="15.75" customHeight="1"/>
    <row r="2" ht="15.75" customHeight="1">
      <c r="E2" s="71" t="s">
        <v>183</v>
      </c>
      <c r="F2" s="72"/>
      <c r="G2" s="72"/>
      <c r="M2" s="72"/>
      <c r="N2" s="72"/>
      <c r="O2" s="72"/>
      <c r="P2" s="72"/>
      <c r="Q2" s="72"/>
      <c r="R2" s="72"/>
      <c r="S2" s="72"/>
    </row>
    <row r="3" ht="15.75" customHeight="1">
      <c r="E3" s="74">
        <f t="shared" ref="E3:E14" si="1">SUM(B3:D3)</f>
        <v>0</v>
      </c>
      <c r="F3" s="75"/>
      <c r="G3" s="75"/>
      <c r="H3" s="76" t="s">
        <v>185</v>
      </c>
      <c r="I3" s="76" t="s">
        <v>186</v>
      </c>
      <c r="J3" s="76" t="s">
        <v>187</v>
      </c>
      <c r="K3" s="77"/>
      <c r="L3" s="77" t="s">
        <v>188</v>
      </c>
      <c r="M3" s="78" t="s">
        <v>189</v>
      </c>
      <c r="N3" s="79" t="s">
        <v>190</v>
      </c>
      <c r="O3" s="79" t="s">
        <v>191</v>
      </c>
      <c r="P3" s="75"/>
      <c r="Q3" s="80"/>
      <c r="R3" s="80"/>
      <c r="S3" s="80"/>
    </row>
    <row r="4" ht="15.75" customHeight="1">
      <c r="E4" s="74">
        <f t="shared" si="1"/>
        <v>629.51</v>
      </c>
      <c r="F4" s="81"/>
      <c r="G4" s="81"/>
      <c r="H4" s="51" t="s">
        <v>193</v>
      </c>
      <c r="I4" s="73">
        <f>E7</f>
        <v>554.75</v>
      </c>
      <c r="J4" s="82">
        <f>I4/SUM(I4:I6)</f>
        <v>0.1623008541</v>
      </c>
      <c r="K4" s="83"/>
      <c r="L4" s="83">
        <f>I10*J4</f>
        <v>234.7936668</v>
      </c>
      <c r="M4" s="81">
        <f t="shared" ref="M4:M6" si="2">I4+L4</f>
        <v>789.5436668</v>
      </c>
      <c r="N4" s="84">
        <v>0.2</v>
      </c>
      <c r="O4" s="81">
        <f t="shared" ref="O4:O5" si="3">180760*0.2</f>
        <v>36152</v>
      </c>
      <c r="P4" s="81"/>
    </row>
    <row r="5" ht="15.75" customHeight="1">
      <c r="E5" s="74">
        <f t="shared" si="1"/>
        <v>2009.775</v>
      </c>
      <c r="F5" s="81"/>
      <c r="G5" s="81"/>
      <c r="H5" s="51" t="s">
        <v>195</v>
      </c>
      <c r="I5" s="73">
        <f>E4</f>
        <v>629.51</v>
      </c>
      <c r="J5" s="82">
        <f>I5/SUM(I4:I6)</f>
        <v>0.1841730702</v>
      </c>
      <c r="K5" s="83"/>
      <c r="L5" s="83">
        <f>I10*J5</f>
        <v>266.4352612</v>
      </c>
      <c r="M5" s="81">
        <f t="shared" si="2"/>
        <v>895.9452612</v>
      </c>
      <c r="N5" s="84">
        <v>0.2</v>
      </c>
      <c r="O5" s="81">
        <f t="shared" si="3"/>
        <v>36152</v>
      </c>
      <c r="P5" s="81"/>
    </row>
    <row r="6" ht="15.75" customHeight="1">
      <c r="E6" s="74">
        <f t="shared" si="1"/>
        <v>224</v>
      </c>
      <c r="F6" s="81"/>
      <c r="G6" s="81"/>
      <c r="H6" s="51" t="s">
        <v>197</v>
      </c>
      <c r="I6" s="85">
        <f>E5+224</f>
        <v>2233.775</v>
      </c>
      <c r="J6" s="82">
        <f>I6/SUM(I4:I6)</f>
        <v>0.6535260757</v>
      </c>
      <c r="K6" s="83"/>
      <c r="L6" s="83">
        <f>J6*I10</f>
        <v>945.428072</v>
      </c>
      <c r="M6" s="81">
        <f t="shared" si="2"/>
        <v>3179.203072</v>
      </c>
      <c r="N6" s="84">
        <v>0.6</v>
      </c>
      <c r="O6" s="81">
        <f>180760*0.6</f>
        <v>108456</v>
      </c>
      <c r="P6" s="81"/>
    </row>
    <row r="7" ht="15.75" customHeight="1">
      <c r="E7" s="74">
        <f t="shared" si="1"/>
        <v>554.75</v>
      </c>
      <c r="F7" s="81"/>
      <c r="G7" s="81"/>
      <c r="K7" s="72"/>
      <c r="L7" s="72"/>
      <c r="M7" s="74">
        <f>SUM(M4:M6)</f>
        <v>4864.692</v>
      </c>
      <c r="N7" s="81"/>
      <c r="O7" s="74">
        <f>SUM(O4:O6)</f>
        <v>180760</v>
      </c>
      <c r="P7" s="81"/>
    </row>
    <row r="8" ht="15.75" customHeight="1">
      <c r="E8" s="74">
        <f t="shared" si="1"/>
        <v>508.657</v>
      </c>
      <c r="F8" s="81"/>
      <c r="G8" s="81"/>
      <c r="K8" s="81"/>
      <c r="L8" s="81"/>
      <c r="M8" s="81"/>
      <c r="N8" s="81"/>
      <c r="O8" s="81"/>
      <c r="P8" s="81"/>
    </row>
    <row r="9" ht="15.75" customHeight="1">
      <c r="E9" s="74">
        <f t="shared" si="1"/>
        <v>482</v>
      </c>
      <c r="F9" s="81"/>
      <c r="G9" s="81"/>
      <c r="I9" s="86"/>
      <c r="K9" s="81"/>
      <c r="L9" s="81"/>
      <c r="M9" s="81"/>
      <c r="N9" s="81"/>
      <c r="O9" s="81"/>
      <c r="P9" s="81"/>
    </row>
    <row r="10" ht="15.75" customHeight="1">
      <c r="E10" s="74">
        <f t="shared" si="1"/>
        <v>128</v>
      </c>
      <c r="F10" s="81"/>
      <c r="G10" s="81"/>
      <c r="H10" s="51" t="s">
        <v>202</v>
      </c>
      <c r="I10" s="73">
        <f>E8+E9+E11+E12+E14+E10</f>
        <v>1446.657</v>
      </c>
      <c r="K10" s="81"/>
      <c r="L10" s="81"/>
      <c r="M10" s="81"/>
      <c r="N10" s="81"/>
      <c r="O10" s="81"/>
      <c r="P10" s="81"/>
    </row>
    <row r="11" ht="15.75" customHeight="1">
      <c r="E11" s="74">
        <f t="shared" si="1"/>
        <v>120</v>
      </c>
      <c r="F11" s="81"/>
      <c r="G11" s="81"/>
      <c r="I11" s="87"/>
      <c r="J11" s="88"/>
      <c r="K11" s="81"/>
      <c r="L11" s="81"/>
      <c r="M11" s="81"/>
      <c r="N11" s="81"/>
      <c r="O11" s="81"/>
      <c r="P11" s="81"/>
    </row>
    <row r="12" ht="15.75" customHeight="1">
      <c r="E12" s="74">
        <f t="shared" si="1"/>
        <v>120</v>
      </c>
      <c r="F12" s="81"/>
      <c r="G12" s="81"/>
      <c r="I12" s="87"/>
      <c r="J12" s="88"/>
      <c r="K12" s="81"/>
      <c r="L12" s="81"/>
      <c r="M12" s="81"/>
      <c r="N12" s="81"/>
      <c r="O12" s="81"/>
      <c r="P12" s="81"/>
    </row>
    <row r="13" ht="15.75" customHeight="1">
      <c r="E13" s="74">
        <f t="shared" si="1"/>
        <v>0</v>
      </c>
      <c r="F13" s="81"/>
      <c r="G13" s="81"/>
      <c r="I13" s="87"/>
      <c r="J13" s="88"/>
      <c r="K13" s="81"/>
      <c r="L13" s="81"/>
      <c r="M13" s="81"/>
      <c r="N13" s="81"/>
      <c r="O13" s="81"/>
      <c r="P13" s="81"/>
    </row>
    <row r="14" ht="15.75" customHeight="1">
      <c r="E14" s="74">
        <f t="shared" si="1"/>
        <v>88</v>
      </c>
      <c r="F14" s="81"/>
      <c r="G14" s="81"/>
      <c r="I14" s="87"/>
      <c r="J14" s="88"/>
      <c r="K14" s="81"/>
      <c r="L14" s="81"/>
      <c r="M14" s="81"/>
      <c r="N14" s="81"/>
      <c r="O14" s="81"/>
      <c r="P14" s="81"/>
    </row>
    <row r="15" ht="15.75" customHeight="1">
      <c r="B15" s="81"/>
      <c r="C15" s="81"/>
      <c r="D15" s="81"/>
      <c r="E15" s="81"/>
      <c r="F15" s="81"/>
      <c r="G15" s="81"/>
      <c r="I15" s="87"/>
      <c r="J15" s="81"/>
      <c r="K15" s="81"/>
      <c r="L15" s="81"/>
      <c r="M15" s="81"/>
      <c r="N15" s="81"/>
      <c r="O15" s="81"/>
      <c r="P15" s="81"/>
    </row>
    <row r="16" ht="15.75" customHeight="1">
      <c r="B16" s="81">
        <f t="shared" ref="B16:E16" si="4">SUM(B3:B14)</f>
        <v>1694.092</v>
      </c>
      <c r="C16" s="81">
        <f t="shared" si="4"/>
        <v>1934.988</v>
      </c>
      <c r="D16" s="81">
        <f t="shared" si="4"/>
        <v>1235.612</v>
      </c>
      <c r="E16" s="81">
        <f t="shared" si="4"/>
        <v>4864.692</v>
      </c>
      <c r="H16" s="51" t="s">
        <v>207</v>
      </c>
      <c r="I16" s="87"/>
    </row>
    <row r="17" ht="15.75" customHeight="1">
      <c r="I17" s="87"/>
    </row>
    <row r="18" ht="15.75" customHeight="1">
      <c r="I18" s="87"/>
    </row>
    <row r="19" ht="15.75" customHeight="1">
      <c r="I19" s="87"/>
    </row>
    <row r="20" ht="15.75" customHeight="1">
      <c r="A20" s="71" t="s">
        <v>208</v>
      </c>
      <c r="G20" s="71"/>
      <c r="I20" s="87"/>
    </row>
    <row r="21" ht="15.75" customHeight="1">
      <c r="A21" s="89" t="s">
        <v>209</v>
      </c>
      <c r="B21" s="90">
        <v>1.0</v>
      </c>
      <c r="C21" s="90">
        <v>1.0</v>
      </c>
      <c r="D21" s="90">
        <v>1.0</v>
      </c>
      <c r="F21" s="91"/>
      <c r="I21" s="87"/>
    </row>
    <row r="22" ht="15.75" customHeight="1">
      <c r="A22" s="89" t="s">
        <v>210</v>
      </c>
      <c r="B22" s="92">
        <v>6.6</v>
      </c>
      <c r="C22" s="92">
        <v>6.6</v>
      </c>
      <c r="D22" s="92">
        <v>3.3</v>
      </c>
      <c r="F22" s="91"/>
      <c r="I22" s="87"/>
    </row>
    <row r="23" ht="15.75" customHeight="1">
      <c r="A23" s="89" t="s">
        <v>12</v>
      </c>
      <c r="B23" s="90">
        <v>1.0</v>
      </c>
      <c r="C23" s="90">
        <v>1.0</v>
      </c>
      <c r="D23" s="90">
        <v>1.0</v>
      </c>
      <c r="F23" s="91"/>
      <c r="I23" s="87"/>
    </row>
    <row r="24" ht="15.75" customHeight="1">
      <c r="A24" s="89" t="s">
        <v>19</v>
      </c>
      <c r="B24" s="92">
        <v>2.0</v>
      </c>
      <c r="C24" s="92">
        <v>2.0</v>
      </c>
      <c r="D24" s="92">
        <v>1.0</v>
      </c>
      <c r="F24" s="91"/>
      <c r="I24" s="87"/>
    </row>
    <row r="25" ht="15.75" customHeight="1">
      <c r="A25" s="89" t="s">
        <v>20</v>
      </c>
      <c r="B25" s="92">
        <v>2.0</v>
      </c>
      <c r="C25" s="92">
        <v>2.0</v>
      </c>
      <c r="D25" s="92">
        <v>1.0</v>
      </c>
      <c r="F25" s="91"/>
      <c r="I25" s="87"/>
    </row>
    <row r="26" ht="15.75" customHeight="1">
      <c r="A26" s="89" t="s">
        <v>14</v>
      </c>
      <c r="B26" s="90">
        <v>1.0</v>
      </c>
      <c r="C26" s="90">
        <v>1.0</v>
      </c>
      <c r="D26" s="90">
        <v>1.0</v>
      </c>
      <c r="F26" s="91"/>
      <c r="I26" s="87"/>
    </row>
    <row r="27" ht="15.75" customHeight="1">
      <c r="A27" s="89" t="s">
        <v>15</v>
      </c>
      <c r="B27" s="90">
        <v>1.0</v>
      </c>
      <c r="C27" s="90">
        <v>1.0</v>
      </c>
      <c r="D27" s="90">
        <v>1.0</v>
      </c>
      <c r="F27" s="91"/>
      <c r="I27" s="87"/>
    </row>
    <row r="28" ht="15.75" customHeight="1">
      <c r="A28" s="89" t="s">
        <v>211</v>
      </c>
      <c r="B28" s="90">
        <v>1.0</v>
      </c>
      <c r="C28" s="90">
        <v>1.0</v>
      </c>
      <c r="D28" s="90">
        <v>1.0</v>
      </c>
      <c r="F28" s="91"/>
      <c r="I28" s="87"/>
    </row>
    <row r="29" ht="15.75" customHeight="1">
      <c r="A29" s="89" t="s">
        <v>212</v>
      </c>
      <c r="B29" s="90">
        <v>1.0</v>
      </c>
      <c r="C29" s="90">
        <v>1.0</v>
      </c>
      <c r="D29" s="90">
        <v>1.0</v>
      </c>
      <c r="F29" s="91"/>
      <c r="I29" s="87"/>
    </row>
    <row r="30" ht="15.75" customHeight="1">
      <c r="A30" s="89" t="s">
        <v>213</v>
      </c>
      <c r="B30" s="90">
        <v>1.0</v>
      </c>
      <c r="C30" s="90">
        <v>1.0</v>
      </c>
      <c r="D30" s="90">
        <v>1.0</v>
      </c>
      <c r="F30" s="91"/>
      <c r="I30" s="87"/>
    </row>
    <row r="31" ht="15.75" customHeight="1">
      <c r="I31" s="87"/>
    </row>
    <row r="32" ht="15.75" customHeight="1">
      <c r="B32" s="93">
        <f t="shared" ref="B32:D32" si="5">max(B34:B52)</f>
        <v>1.05</v>
      </c>
      <c r="C32" s="93">
        <f t="shared" si="5"/>
        <v>1.25</v>
      </c>
      <c r="D32" s="93">
        <f t="shared" si="5"/>
        <v>1.55</v>
      </c>
      <c r="E32" s="71" t="s">
        <v>214</v>
      </c>
      <c r="I32" s="87"/>
    </row>
    <row r="33" ht="15.75" customHeight="1">
      <c r="A33" s="94" t="s">
        <v>215</v>
      </c>
      <c r="B33" s="95" t="str">
        <f t="shared" ref="B33:D33" si="6">B2</f>
        <v>Phase 1</v>
      </c>
      <c r="C33" s="95" t="str">
        <f t="shared" si="6"/>
        <v>Phase 2</v>
      </c>
      <c r="D33" s="95" t="str">
        <f t="shared" si="6"/>
        <v>Phase 3</v>
      </c>
      <c r="E33" s="96" t="s">
        <v>216</v>
      </c>
      <c r="F33" s="97" t="s">
        <v>217</v>
      </c>
      <c r="G33" s="98"/>
      <c r="I33" s="87"/>
    </row>
    <row r="34" ht="15.75" customHeight="1">
      <c r="A34" s="39" t="s">
        <v>218</v>
      </c>
      <c r="B34" s="99">
        <f t="shared" ref="B34:D34" si="7">CEILING((B4+B5+B7)/160/B22, 0.05)</f>
        <v>1.05</v>
      </c>
      <c r="C34" s="99">
        <f t="shared" si="7"/>
        <v>1.25</v>
      </c>
      <c r="D34" s="99">
        <f t="shared" si="7"/>
        <v>1.55</v>
      </c>
      <c r="E34" s="100">
        <f t="shared" ref="E34:E52" si="9">SUM(B34:D34)</f>
        <v>3.85</v>
      </c>
      <c r="F34" s="39" t="s">
        <v>219</v>
      </c>
      <c r="G34" s="90"/>
      <c r="I34" s="87"/>
    </row>
    <row r="35" ht="15.75" customHeight="1">
      <c r="A35" s="39" t="s">
        <v>220</v>
      </c>
      <c r="B35" s="99">
        <f t="shared" ref="B35:D35" si="8">B34</f>
        <v>1.05</v>
      </c>
      <c r="C35" s="99">
        <f t="shared" si="8"/>
        <v>1.25</v>
      </c>
      <c r="D35" s="99">
        <f t="shared" si="8"/>
        <v>1.55</v>
      </c>
      <c r="E35" s="100">
        <f t="shared" si="9"/>
        <v>3.85</v>
      </c>
      <c r="F35" s="39" t="s">
        <v>221</v>
      </c>
      <c r="G35" s="90"/>
      <c r="I35" s="87"/>
    </row>
    <row r="36" ht="15.75" customHeight="1">
      <c r="A36" s="39" t="s">
        <v>220</v>
      </c>
      <c r="B36" s="99">
        <f t="shared" ref="B36:D36" si="10">B35</f>
        <v>1.05</v>
      </c>
      <c r="C36" s="99">
        <f t="shared" si="10"/>
        <v>1.25</v>
      </c>
      <c r="D36" s="99">
        <f t="shared" si="10"/>
        <v>1.55</v>
      </c>
      <c r="E36" s="100">
        <f t="shared" si="9"/>
        <v>3.85</v>
      </c>
      <c r="F36" s="39" t="s">
        <v>222</v>
      </c>
      <c r="G36" s="90"/>
      <c r="I36" s="87"/>
    </row>
    <row r="37" ht="15.75" customHeight="1">
      <c r="A37" s="39" t="s">
        <v>220</v>
      </c>
      <c r="B37" s="99">
        <f t="shared" ref="B37:D37" si="11">B36</f>
        <v>1.05</v>
      </c>
      <c r="C37" s="99">
        <f t="shared" si="11"/>
        <v>1.25</v>
      </c>
      <c r="D37" s="99">
        <f t="shared" si="11"/>
        <v>1.55</v>
      </c>
      <c r="E37" s="100">
        <f t="shared" si="9"/>
        <v>3.85</v>
      </c>
      <c r="F37" s="39" t="s">
        <v>221</v>
      </c>
      <c r="G37" s="90"/>
      <c r="I37" s="87"/>
    </row>
    <row r="38" ht="15.75" customHeight="1">
      <c r="A38" s="39" t="s">
        <v>218</v>
      </c>
      <c r="B38" s="99">
        <f t="shared" ref="B38:D38" si="12">B37</f>
        <v>1.05</v>
      </c>
      <c r="C38" s="99">
        <f t="shared" si="12"/>
        <v>1.25</v>
      </c>
      <c r="D38" s="99">
        <f t="shared" si="12"/>
        <v>1.55</v>
      </c>
      <c r="E38" s="100">
        <f t="shared" si="9"/>
        <v>3.85</v>
      </c>
      <c r="F38" s="39" t="s">
        <v>219</v>
      </c>
      <c r="G38" s="90"/>
      <c r="I38" s="87"/>
    </row>
    <row r="39" ht="15.75" customHeight="1">
      <c r="A39" s="39" t="s">
        <v>220</v>
      </c>
      <c r="B39" s="99">
        <f t="shared" ref="B39:D39" si="13">B38</f>
        <v>1.05</v>
      </c>
      <c r="C39" s="99">
        <f t="shared" si="13"/>
        <v>1.25</v>
      </c>
      <c r="D39" s="99">
        <f t="shared" si="13"/>
        <v>1.55</v>
      </c>
      <c r="E39" s="100">
        <f t="shared" si="9"/>
        <v>3.85</v>
      </c>
      <c r="F39" s="39" t="s">
        <v>221</v>
      </c>
      <c r="G39" s="90"/>
      <c r="I39" s="87"/>
    </row>
    <row r="40" ht="15.75" customHeight="1">
      <c r="A40" s="39" t="s">
        <v>220</v>
      </c>
      <c r="B40" s="99">
        <f t="shared" ref="B40:D40" si="14">B39</f>
        <v>1.05</v>
      </c>
      <c r="C40" s="99">
        <f t="shared" si="14"/>
        <v>1.25</v>
      </c>
      <c r="D40" s="99">
        <f t="shared" si="14"/>
        <v>1.55</v>
      </c>
      <c r="E40" s="100">
        <f t="shared" si="9"/>
        <v>3.85</v>
      </c>
      <c r="F40" s="39" t="s">
        <v>222</v>
      </c>
      <c r="G40" s="90"/>
      <c r="I40" s="87"/>
    </row>
    <row r="41" ht="15.75" customHeight="1">
      <c r="A41" s="39" t="s">
        <v>220</v>
      </c>
      <c r="B41" s="99">
        <f t="shared" ref="B41:D41" si="15">B40</f>
        <v>1.05</v>
      </c>
      <c r="C41" s="99">
        <f t="shared" si="15"/>
        <v>1.25</v>
      </c>
      <c r="D41" s="99">
        <f t="shared" si="15"/>
        <v>1.55</v>
      </c>
      <c r="E41" s="100">
        <f t="shared" si="9"/>
        <v>3.85</v>
      </c>
      <c r="F41" s="39" t="s">
        <v>221</v>
      </c>
      <c r="G41" s="90"/>
      <c r="I41" s="87"/>
    </row>
    <row r="42" ht="15.75" customHeight="1">
      <c r="A42" s="39" t="s">
        <v>223</v>
      </c>
      <c r="B42" s="99">
        <f t="shared" ref="B42:D42" si="16">CEILING(B6/160/B23, 0.05)</f>
        <v>0.75</v>
      </c>
      <c r="C42" s="99">
        <f t="shared" si="16"/>
        <v>0.4</v>
      </c>
      <c r="D42" s="99">
        <f t="shared" si="16"/>
        <v>0.25</v>
      </c>
      <c r="E42" s="100">
        <f t="shared" si="9"/>
        <v>1.4</v>
      </c>
      <c r="F42" s="39" t="s">
        <v>223</v>
      </c>
      <c r="G42" s="90"/>
      <c r="I42" s="87"/>
    </row>
    <row r="43" ht="15.75" customHeight="1">
      <c r="A43" s="39" t="s">
        <v>224</v>
      </c>
      <c r="B43" s="99">
        <f t="shared" ref="B43:D43" si="17">CEILING(B8/160/B24, 0.05)</f>
        <v>0.6</v>
      </c>
      <c r="C43" s="99">
        <f t="shared" si="17"/>
        <v>0.65</v>
      </c>
      <c r="D43" s="99">
        <f t="shared" si="17"/>
        <v>0.8</v>
      </c>
      <c r="E43" s="100">
        <f t="shared" si="9"/>
        <v>2.05</v>
      </c>
      <c r="F43" s="39" t="s">
        <v>225</v>
      </c>
      <c r="G43" s="90"/>
      <c r="I43" s="87"/>
    </row>
    <row r="44" ht="15.75" customHeight="1">
      <c r="A44" s="39" t="s">
        <v>226</v>
      </c>
      <c r="B44" s="99">
        <f t="shared" ref="B44:D44" si="18">CEILING(B9/160/B25, 0.05)</f>
        <v>0.5</v>
      </c>
      <c r="C44" s="99">
        <f t="shared" si="18"/>
        <v>0.7</v>
      </c>
      <c r="D44" s="99">
        <f t="shared" si="18"/>
        <v>0.8</v>
      </c>
      <c r="E44" s="100">
        <f t="shared" si="9"/>
        <v>2</v>
      </c>
      <c r="F44" s="39" t="s">
        <v>227</v>
      </c>
      <c r="G44" s="90"/>
      <c r="I44" s="87"/>
    </row>
    <row r="45" ht="15.75" customHeight="1">
      <c r="A45" s="39" t="s">
        <v>224</v>
      </c>
      <c r="B45" s="99">
        <f t="shared" ref="B45:D45" si="19">B43</f>
        <v>0.6</v>
      </c>
      <c r="C45" s="99">
        <f t="shared" si="19"/>
        <v>0.65</v>
      </c>
      <c r="D45" s="99">
        <f t="shared" si="19"/>
        <v>0.8</v>
      </c>
      <c r="E45" s="100">
        <f t="shared" si="9"/>
        <v>2.05</v>
      </c>
      <c r="F45" s="39" t="s">
        <v>225</v>
      </c>
      <c r="G45" s="90"/>
      <c r="I45" s="87"/>
    </row>
    <row r="46" ht="15.75" customHeight="1">
      <c r="A46" s="39" t="s">
        <v>226</v>
      </c>
      <c r="B46" s="99">
        <f t="shared" ref="B46:D46" si="20">B44</f>
        <v>0.5</v>
      </c>
      <c r="C46" s="99">
        <f t="shared" si="20"/>
        <v>0.7</v>
      </c>
      <c r="D46" s="99">
        <f t="shared" si="20"/>
        <v>0.8</v>
      </c>
      <c r="E46" s="100">
        <f t="shared" si="9"/>
        <v>2</v>
      </c>
      <c r="F46" s="39" t="s">
        <v>227</v>
      </c>
      <c r="G46" s="90"/>
      <c r="I46" s="87"/>
    </row>
    <row r="47" ht="15.75" customHeight="1">
      <c r="A47" s="39" t="s">
        <v>228</v>
      </c>
      <c r="B47" s="99">
        <f t="shared" ref="B47:D47" si="21">CEILING(B44*40%, 0.05)</f>
        <v>0.2</v>
      </c>
      <c r="C47" s="99">
        <f t="shared" si="21"/>
        <v>0.3</v>
      </c>
      <c r="D47" s="99">
        <f t="shared" si="21"/>
        <v>0.35</v>
      </c>
      <c r="E47" s="100">
        <f t="shared" si="9"/>
        <v>0.85</v>
      </c>
      <c r="F47" s="39" t="s">
        <v>228</v>
      </c>
      <c r="G47" s="90"/>
      <c r="I47" s="87"/>
    </row>
    <row r="48" ht="15.75" customHeight="1">
      <c r="A48" s="39" t="s">
        <v>229</v>
      </c>
      <c r="B48" s="99">
        <f t="shared" ref="B48:D48" si="22">MAX(CEILING(B34*30%, 0.05), CEILING(B14/160/B30, 0.05))</f>
        <v>0.35</v>
      </c>
      <c r="C48" s="99">
        <f t="shared" si="22"/>
        <v>0.4</v>
      </c>
      <c r="D48" s="99">
        <f t="shared" si="22"/>
        <v>0.5</v>
      </c>
      <c r="E48" s="100">
        <f t="shared" si="9"/>
        <v>1.25</v>
      </c>
      <c r="F48" s="39" t="s">
        <v>229</v>
      </c>
      <c r="G48" s="90"/>
      <c r="I48" s="87"/>
    </row>
    <row r="49" ht="15.75" customHeight="1">
      <c r="A49" s="39" t="s">
        <v>230</v>
      </c>
      <c r="B49" s="99">
        <f t="shared" ref="B49:D49" si="23">CEILING(B10/160/B26, 0.05)</f>
        <v>0.4</v>
      </c>
      <c r="C49" s="99">
        <f t="shared" si="23"/>
        <v>0.2</v>
      </c>
      <c r="D49" s="99">
        <f t="shared" si="23"/>
        <v>0.2</v>
      </c>
      <c r="E49" s="100">
        <f t="shared" si="9"/>
        <v>0.8</v>
      </c>
      <c r="F49" s="39" t="s">
        <v>221</v>
      </c>
      <c r="G49" s="39"/>
      <c r="I49" s="87"/>
    </row>
    <row r="50" ht="15.75" customHeight="1">
      <c r="A50" s="39" t="s">
        <v>15</v>
      </c>
      <c r="B50" s="99">
        <f t="shared" ref="B50:D50" si="24">MAX(CEILING(B34*40%, 0.05), CEILING(B11/160/B27, 0.05))</f>
        <v>0.45</v>
      </c>
      <c r="C50" s="99">
        <f t="shared" si="24"/>
        <v>0.5</v>
      </c>
      <c r="D50" s="99">
        <f t="shared" si="24"/>
        <v>0.65</v>
      </c>
      <c r="E50" s="100">
        <f t="shared" si="9"/>
        <v>1.6</v>
      </c>
      <c r="F50" s="39" t="s">
        <v>231</v>
      </c>
      <c r="G50" s="39"/>
      <c r="I50" s="87"/>
    </row>
    <row r="51" ht="15.75" customHeight="1">
      <c r="A51" s="39" t="s">
        <v>16</v>
      </c>
      <c r="B51" s="99">
        <f t="shared" ref="B51:D51" si="25">MAX(CEILING(B34*30%, 0.05), CEILING(B12/160/B28, 0.05))</f>
        <v>0.35</v>
      </c>
      <c r="C51" s="99">
        <f t="shared" si="25"/>
        <v>0.4</v>
      </c>
      <c r="D51" s="99">
        <f t="shared" si="25"/>
        <v>0.5</v>
      </c>
      <c r="E51" s="100">
        <f t="shared" si="9"/>
        <v>1.25</v>
      </c>
      <c r="F51" s="39" t="s">
        <v>232</v>
      </c>
      <c r="G51" s="39"/>
      <c r="I51" s="87"/>
    </row>
    <row r="52" ht="15.75" customHeight="1">
      <c r="A52" s="39" t="s">
        <v>233</v>
      </c>
      <c r="B52" s="99">
        <f t="shared" ref="B52:D52" si="26">CEILING(MAX(B34:B51)*2/3, 0.05)</f>
        <v>0.7</v>
      </c>
      <c r="C52" s="99">
        <f t="shared" si="26"/>
        <v>0.85</v>
      </c>
      <c r="D52" s="99">
        <f t="shared" si="26"/>
        <v>1.05</v>
      </c>
      <c r="E52" s="100">
        <f t="shared" si="9"/>
        <v>2.6</v>
      </c>
      <c r="F52" s="39" t="s">
        <v>233</v>
      </c>
      <c r="G52" s="90"/>
      <c r="I52" s="87"/>
    </row>
    <row r="53" ht="15.75" customHeight="1">
      <c r="A53" s="101" t="s">
        <v>216</v>
      </c>
      <c r="B53" s="102">
        <f t="shared" ref="B53:D53" si="27">SUM(B34:B52)</f>
        <v>13.8</v>
      </c>
      <c r="C53" s="102">
        <f t="shared" si="27"/>
        <v>15.75</v>
      </c>
      <c r="D53" s="102">
        <f t="shared" si="27"/>
        <v>19.1</v>
      </c>
      <c r="E53" s="96">
        <f>SUM(E33:E52)</f>
        <v>48.65</v>
      </c>
      <c r="F53" s="95"/>
      <c r="G53" s="95"/>
      <c r="I53" s="87"/>
    </row>
    <row r="54" ht="15.75" customHeight="1">
      <c r="B54" s="89">
        <f t="shared" ref="B54:E54" si="28">B53*160</f>
        <v>2208</v>
      </c>
      <c r="C54" s="89">
        <f t="shared" si="28"/>
        <v>2520</v>
      </c>
      <c r="D54" s="89">
        <f t="shared" si="28"/>
        <v>3056</v>
      </c>
      <c r="E54" s="89">
        <f t="shared" si="28"/>
        <v>7784</v>
      </c>
      <c r="I54" s="87"/>
    </row>
    <row r="55" ht="15.75" customHeight="1">
      <c r="B55" s="103"/>
      <c r="C55" s="103"/>
      <c r="D55" s="103"/>
      <c r="E55" s="103"/>
      <c r="F55" s="103"/>
      <c r="G55" s="103"/>
      <c r="H55" s="88"/>
      <c r="I55" s="87"/>
    </row>
    <row r="56" ht="15.75" customHeight="1">
      <c r="I56" s="87"/>
    </row>
    <row r="57" ht="15.75" customHeight="1">
      <c r="I57" s="87"/>
    </row>
    <row r="58" ht="15.75" customHeight="1">
      <c r="I58" s="87"/>
    </row>
    <row r="59" ht="15.75" customHeight="1">
      <c r="I59" s="87"/>
    </row>
    <row r="60" ht="15.75" customHeight="1">
      <c r="I60" s="87"/>
    </row>
    <row r="61" ht="15.75" customHeight="1">
      <c r="I61" s="87"/>
    </row>
    <row r="62" ht="15.75" customHeight="1">
      <c r="I62" s="87"/>
    </row>
    <row r="63" ht="15.75" customHeight="1">
      <c r="I63" s="87"/>
    </row>
    <row r="64" ht="15.75" customHeight="1">
      <c r="I64" s="87"/>
    </row>
    <row r="65" ht="15.75" customHeight="1">
      <c r="I65" s="87"/>
    </row>
    <row r="66" ht="15.75" customHeight="1">
      <c r="I66" s="87"/>
    </row>
    <row r="67" ht="15.75" customHeight="1">
      <c r="I67" s="87"/>
    </row>
    <row r="68" ht="15.75" customHeight="1">
      <c r="I68" s="87"/>
    </row>
    <row r="69" ht="15.75" customHeight="1">
      <c r="I69" s="87"/>
    </row>
    <row r="70" ht="15.75" customHeight="1">
      <c r="I70" s="87"/>
    </row>
    <row r="71" ht="15.75" customHeight="1">
      <c r="I71" s="87"/>
    </row>
    <row r="72" ht="15.75" customHeight="1">
      <c r="I72" s="87"/>
    </row>
    <row r="73" ht="15.75" customHeight="1">
      <c r="I73" s="87"/>
    </row>
    <row r="74" ht="15.75" customHeight="1">
      <c r="I74" s="87"/>
    </row>
    <row r="75" ht="15.75" customHeight="1">
      <c r="I75" s="87"/>
    </row>
    <row r="76" ht="15.75" customHeight="1">
      <c r="I76" s="87"/>
    </row>
    <row r="77" ht="15.75" customHeight="1">
      <c r="I77" s="87"/>
    </row>
    <row r="78" ht="15.75" customHeight="1">
      <c r="I78" s="87"/>
    </row>
    <row r="79" ht="15.75" customHeight="1">
      <c r="I79" s="87"/>
    </row>
    <row r="80" ht="15.75" customHeight="1">
      <c r="I80" s="87"/>
    </row>
    <row r="81" ht="15.75" customHeight="1">
      <c r="I81" s="87"/>
    </row>
    <row r="82" ht="15.75" customHeight="1">
      <c r="I82" s="87"/>
    </row>
    <row r="83" ht="15.75" customHeight="1">
      <c r="I83" s="87"/>
    </row>
    <row r="84" ht="15.75" customHeight="1">
      <c r="I84" s="87"/>
    </row>
    <row r="85" ht="15.75" customHeight="1">
      <c r="I85" s="87"/>
    </row>
    <row r="86" ht="15.75" customHeight="1">
      <c r="I86" s="87"/>
    </row>
    <row r="87" ht="15.75" customHeight="1">
      <c r="I87" s="87"/>
    </row>
    <row r="88" ht="15.75" customHeight="1">
      <c r="I88" s="87"/>
    </row>
    <row r="89" ht="15.75" customHeight="1">
      <c r="I89" s="87"/>
    </row>
    <row r="90" ht="15.75" customHeight="1">
      <c r="I90" s="87"/>
    </row>
    <row r="91" ht="15.75" customHeight="1">
      <c r="I91" s="87"/>
    </row>
    <row r="92" ht="15.75" customHeight="1">
      <c r="I92" s="87"/>
    </row>
    <row r="93" ht="15.75" customHeight="1">
      <c r="I93" s="87"/>
    </row>
    <row r="94" ht="15.75" customHeight="1">
      <c r="I94" s="87"/>
    </row>
    <row r="95" ht="15.75" customHeight="1">
      <c r="I95" s="87"/>
    </row>
    <row r="96" ht="15.75" customHeight="1">
      <c r="I96" s="87"/>
    </row>
    <row r="97" ht="15.75" customHeight="1">
      <c r="I97" s="87"/>
    </row>
    <row r="98" ht="15.75" customHeight="1">
      <c r="I98" s="87"/>
    </row>
    <row r="99" ht="15.75" customHeight="1">
      <c r="I99" s="87"/>
    </row>
    <row r="100" ht="15.75" customHeight="1">
      <c r="I100" s="87"/>
    </row>
    <row r="101" ht="15.75" customHeight="1">
      <c r="I101" s="87"/>
    </row>
    <row r="102" ht="15.75" customHeight="1">
      <c r="I102" s="87"/>
    </row>
    <row r="103" ht="15.75" customHeight="1">
      <c r="I103" s="87"/>
    </row>
    <row r="104" ht="15.75" customHeight="1">
      <c r="I104" s="87"/>
    </row>
    <row r="105" ht="15.75" customHeight="1">
      <c r="I105" s="87"/>
    </row>
    <row r="106" ht="15.75" customHeight="1">
      <c r="I106" s="87"/>
    </row>
    <row r="107" ht="15.75" customHeight="1">
      <c r="I107" s="87"/>
    </row>
    <row r="108" ht="15.75" customHeight="1">
      <c r="I108" s="87"/>
    </row>
    <row r="109" ht="15.75" customHeight="1">
      <c r="I109" s="87"/>
    </row>
    <row r="110" ht="15.75" customHeight="1">
      <c r="I110" s="87"/>
    </row>
    <row r="111" ht="15.75" customHeight="1">
      <c r="I111" s="87"/>
    </row>
    <row r="112" ht="15.75" customHeight="1">
      <c r="I112" s="87"/>
    </row>
    <row r="113" ht="15.75" customHeight="1">
      <c r="I113" s="87"/>
    </row>
    <row r="114" ht="15.75" customHeight="1">
      <c r="I114" s="87"/>
    </row>
    <row r="115" ht="15.75" customHeight="1">
      <c r="I115" s="87"/>
    </row>
    <row r="116" ht="15.75" customHeight="1">
      <c r="I116" s="87"/>
    </row>
    <row r="117" ht="15.75" customHeight="1">
      <c r="I117" s="87"/>
    </row>
    <row r="118" ht="15.75" customHeight="1">
      <c r="I118" s="87"/>
    </row>
    <row r="119" ht="15.75" customHeight="1">
      <c r="I119" s="87"/>
    </row>
    <row r="120" ht="15.75" customHeight="1">
      <c r="I120" s="87"/>
    </row>
    <row r="121" ht="15.75" customHeight="1">
      <c r="I121" s="87"/>
    </row>
    <row r="122" ht="15.75" customHeight="1">
      <c r="I122" s="87"/>
    </row>
    <row r="123" ht="15.75" customHeight="1">
      <c r="I123" s="87"/>
    </row>
    <row r="124" ht="15.75" customHeight="1">
      <c r="I124" s="87"/>
    </row>
    <row r="125" ht="15.75" customHeight="1">
      <c r="I125" s="87"/>
    </row>
    <row r="126" ht="15.75" customHeight="1">
      <c r="I126" s="87"/>
    </row>
    <row r="127" ht="15.75" customHeight="1">
      <c r="I127" s="87"/>
    </row>
    <row r="128" ht="15.75" customHeight="1">
      <c r="I128" s="87"/>
    </row>
    <row r="129" ht="15.75" customHeight="1">
      <c r="I129" s="87"/>
    </row>
    <row r="130" ht="15.75" customHeight="1">
      <c r="I130" s="87"/>
    </row>
    <row r="131" ht="15.75" customHeight="1">
      <c r="I131" s="87"/>
    </row>
    <row r="132" ht="15.75" customHeight="1">
      <c r="I132" s="87"/>
    </row>
    <row r="133" ht="15.75" customHeight="1">
      <c r="I133" s="87"/>
    </row>
    <row r="134" ht="15.75" customHeight="1">
      <c r="I134" s="87"/>
    </row>
    <row r="135" ht="15.75" customHeight="1">
      <c r="D135" s="104" t="s">
        <v>234</v>
      </c>
      <c r="I135" s="87"/>
    </row>
    <row r="136" ht="15.75" customHeight="1">
      <c r="D136" s="104" t="s">
        <v>235</v>
      </c>
      <c r="I136" s="87"/>
    </row>
    <row r="137" ht="15.75" customHeight="1">
      <c r="D137" s="104" t="s">
        <v>236</v>
      </c>
      <c r="I137" s="87"/>
    </row>
    <row r="138" ht="15.75" customHeight="1">
      <c r="D138" s="104" t="s">
        <v>237</v>
      </c>
      <c r="I138" s="87"/>
    </row>
    <row r="139" ht="15.75" customHeight="1">
      <c r="D139" s="104" t="s">
        <v>238</v>
      </c>
      <c r="I139" s="87"/>
    </row>
    <row r="140" ht="15.75" customHeight="1">
      <c r="D140" s="104" t="s">
        <v>239</v>
      </c>
      <c r="I140" s="87"/>
    </row>
    <row r="141" ht="15.75" customHeight="1">
      <c r="D141" s="104"/>
      <c r="I141" s="87"/>
    </row>
    <row r="142" ht="15.75" customHeight="1">
      <c r="I142" s="87"/>
    </row>
    <row r="143" ht="15.75" customHeight="1">
      <c r="I143" s="87"/>
    </row>
    <row r="144" ht="15.75" customHeight="1">
      <c r="I144" s="87"/>
    </row>
    <row r="145" ht="15.75" customHeight="1">
      <c r="I145" s="87"/>
    </row>
    <row r="146" ht="15.75" customHeight="1">
      <c r="I146" s="87"/>
    </row>
    <row r="147" ht="15.75" customHeight="1">
      <c r="I147" s="87"/>
    </row>
    <row r="148" ht="15.75" customHeight="1">
      <c r="I148" s="87"/>
    </row>
    <row r="149" ht="15.75" customHeight="1">
      <c r="I149" s="87"/>
    </row>
    <row r="150" ht="15.75" customHeight="1">
      <c r="I150" s="87"/>
    </row>
    <row r="151" ht="15.75" customHeight="1">
      <c r="I151" s="87"/>
    </row>
    <row r="152" ht="15.75" customHeight="1">
      <c r="I152" s="87"/>
    </row>
    <row r="153" ht="15.75" customHeight="1">
      <c r="I153" s="87"/>
    </row>
    <row r="154" ht="15.75" customHeight="1">
      <c r="I154" s="87"/>
    </row>
    <row r="155" ht="15.75" customHeight="1">
      <c r="I155" s="87"/>
    </row>
    <row r="156" ht="15.75" customHeight="1">
      <c r="I156" s="87"/>
    </row>
    <row r="157" ht="15.75" customHeight="1">
      <c r="I157" s="87"/>
    </row>
    <row r="158" ht="15.75" customHeight="1">
      <c r="I158" s="87"/>
    </row>
    <row r="159" ht="15.75" customHeight="1">
      <c r="I159" s="87"/>
    </row>
    <row r="160" ht="15.75" customHeight="1">
      <c r="I160" s="87"/>
    </row>
    <row r="161" ht="15.75" customHeight="1">
      <c r="I161" s="87"/>
    </row>
    <row r="162" ht="15.75" customHeight="1">
      <c r="I162" s="87"/>
    </row>
    <row r="163" ht="15.75" customHeight="1">
      <c r="I163" s="87"/>
    </row>
    <row r="164" ht="15.75" customHeight="1">
      <c r="I164" s="87"/>
    </row>
    <row r="165" ht="15.75" customHeight="1">
      <c r="I165" s="87"/>
    </row>
    <row r="166" ht="15.75" customHeight="1">
      <c r="I166" s="87"/>
    </row>
    <row r="167" ht="15.75" customHeight="1">
      <c r="I167" s="87"/>
    </row>
    <row r="168" ht="15.75" customHeight="1">
      <c r="I168" s="87"/>
    </row>
    <row r="169" ht="15.75" customHeight="1">
      <c r="I169" s="87"/>
    </row>
    <row r="170" ht="15.75" customHeight="1">
      <c r="I170" s="87"/>
    </row>
    <row r="171" ht="15.75" customHeight="1">
      <c r="I171" s="87"/>
    </row>
    <row r="172" ht="15.75" customHeight="1">
      <c r="I172" s="87"/>
    </row>
    <row r="173" ht="15.75" customHeight="1">
      <c r="I173" s="87"/>
    </row>
    <row r="174" ht="15.75" customHeight="1">
      <c r="I174" s="87"/>
    </row>
    <row r="175" ht="15.75" customHeight="1">
      <c r="I175" s="87"/>
    </row>
    <row r="176" ht="15.75" customHeight="1">
      <c r="I176" s="87"/>
    </row>
    <row r="177" ht="15.75" customHeight="1">
      <c r="I177" s="87"/>
    </row>
    <row r="178" ht="15.75" customHeight="1">
      <c r="I178" s="87"/>
    </row>
    <row r="179" ht="15.75" customHeight="1">
      <c r="I179" s="87"/>
    </row>
    <row r="180" ht="15.75" customHeight="1">
      <c r="I180" s="87"/>
    </row>
    <row r="181" ht="15.75" customHeight="1">
      <c r="I181" s="87"/>
    </row>
    <row r="182" ht="15.75" customHeight="1">
      <c r="I182" s="87"/>
    </row>
    <row r="183" ht="15.75" customHeight="1">
      <c r="I183" s="87"/>
    </row>
    <row r="184" ht="15.75" customHeight="1">
      <c r="I184" s="87"/>
    </row>
    <row r="185" ht="15.75" customHeight="1">
      <c r="I185" s="87"/>
    </row>
    <row r="186" ht="15.75" customHeight="1">
      <c r="I186" s="87"/>
    </row>
    <row r="187" ht="15.75" customHeight="1">
      <c r="I187" s="87"/>
    </row>
    <row r="188" ht="15.75" customHeight="1">
      <c r="I188" s="87"/>
    </row>
    <row r="189" ht="15.75" customHeight="1">
      <c r="I189" s="87"/>
    </row>
    <row r="190" ht="15.75" customHeight="1">
      <c r="I190" s="87"/>
    </row>
    <row r="191" ht="15.75" customHeight="1">
      <c r="I191" s="87"/>
    </row>
    <row r="192" ht="15.75" customHeight="1">
      <c r="I192" s="87"/>
    </row>
    <row r="193" ht="15.75" customHeight="1">
      <c r="I193" s="87"/>
    </row>
    <row r="194" ht="15.75" customHeight="1">
      <c r="I194" s="87"/>
    </row>
    <row r="195" ht="15.75" customHeight="1">
      <c r="I195" s="87"/>
    </row>
    <row r="196" ht="15.75" customHeight="1">
      <c r="I196" s="87"/>
    </row>
    <row r="197" ht="15.75" customHeight="1">
      <c r="I197" s="87"/>
    </row>
    <row r="198" ht="15.75" customHeight="1">
      <c r="I198" s="87"/>
    </row>
    <row r="199" ht="15.75" customHeight="1">
      <c r="I199" s="87"/>
    </row>
    <row r="200" ht="15.75" customHeight="1">
      <c r="I200" s="87"/>
    </row>
    <row r="201" ht="15.75" customHeight="1">
      <c r="I201" s="87"/>
    </row>
    <row r="202" ht="15.75" customHeight="1">
      <c r="I202" s="87"/>
    </row>
    <row r="203" ht="15.75" customHeight="1">
      <c r="I203" s="87"/>
    </row>
    <row r="204" ht="15.75" customHeight="1">
      <c r="I204" s="87"/>
    </row>
    <row r="205" ht="15.75" customHeight="1">
      <c r="I205" s="87"/>
    </row>
    <row r="206" ht="15.75" customHeight="1">
      <c r="I206" s="87"/>
    </row>
    <row r="207" ht="15.75" customHeight="1">
      <c r="I207" s="87"/>
    </row>
    <row r="208" ht="15.75" customHeight="1">
      <c r="I208" s="87"/>
    </row>
    <row r="209" ht="15.75" customHeight="1">
      <c r="I209" s="87"/>
    </row>
    <row r="210" ht="15.75" customHeight="1">
      <c r="I210" s="87"/>
    </row>
    <row r="211" ht="15.75" customHeight="1">
      <c r="I211" s="87"/>
    </row>
    <row r="212" ht="15.75" customHeight="1">
      <c r="I212" s="87"/>
    </row>
    <row r="213" ht="15.75" customHeight="1">
      <c r="I213" s="87"/>
    </row>
    <row r="214" ht="15.75" customHeight="1">
      <c r="I214" s="87"/>
    </row>
    <row r="215" ht="15.75" customHeight="1">
      <c r="I215" s="87"/>
    </row>
    <row r="216" ht="15.75" customHeight="1">
      <c r="I216" s="87"/>
    </row>
    <row r="217" ht="15.75" customHeight="1">
      <c r="I217" s="87"/>
    </row>
    <row r="218" ht="15.75" customHeight="1">
      <c r="I218" s="87"/>
    </row>
    <row r="219" ht="15.75" customHeight="1">
      <c r="I219" s="87"/>
    </row>
    <row r="220" ht="15.75" customHeight="1">
      <c r="I220" s="87"/>
    </row>
    <row r="221" ht="15.75" customHeight="1">
      <c r="I221" s="87"/>
    </row>
    <row r="222" ht="15.75" customHeight="1">
      <c r="I222" s="87"/>
    </row>
    <row r="223" ht="15.75" customHeight="1">
      <c r="I223" s="87"/>
    </row>
    <row r="224" ht="15.75" customHeight="1">
      <c r="I224" s="87"/>
    </row>
    <row r="225" ht="15.75" customHeight="1">
      <c r="I225" s="87"/>
    </row>
    <row r="226" ht="15.75" customHeight="1">
      <c r="I226" s="87"/>
    </row>
    <row r="227" ht="15.75" customHeight="1">
      <c r="I227" s="87"/>
    </row>
    <row r="228" ht="15.75" customHeight="1">
      <c r="I228" s="87"/>
    </row>
    <row r="229" ht="15.75" customHeight="1">
      <c r="I229" s="87"/>
    </row>
    <row r="230" ht="15.75" customHeight="1">
      <c r="I230" s="87"/>
    </row>
    <row r="231" ht="15.75" customHeight="1">
      <c r="I231" s="87"/>
    </row>
    <row r="232" ht="15.75" customHeight="1">
      <c r="I232" s="87"/>
    </row>
    <row r="233" ht="15.75" customHeight="1">
      <c r="I233" s="87"/>
    </row>
    <row r="234" ht="15.75" customHeight="1">
      <c r="I234" s="87"/>
    </row>
    <row r="235" ht="15.75" customHeight="1">
      <c r="I235" s="87"/>
    </row>
    <row r="236" ht="15.75" customHeight="1">
      <c r="I236" s="87"/>
    </row>
    <row r="237" ht="15.75" customHeight="1">
      <c r="I237" s="87"/>
    </row>
    <row r="238" ht="15.75" customHeight="1">
      <c r="I238" s="87"/>
    </row>
    <row r="239" ht="15.75" customHeight="1">
      <c r="I239" s="87"/>
    </row>
    <row r="240" ht="15.75" customHeight="1">
      <c r="I240" s="87"/>
    </row>
    <row r="241" ht="15.75" customHeight="1">
      <c r="I241" s="87"/>
    </row>
    <row r="242" ht="15.75" customHeight="1">
      <c r="I242" s="87"/>
    </row>
    <row r="243" ht="15.75" customHeight="1">
      <c r="I243" s="87"/>
    </row>
    <row r="244" ht="15.75" customHeight="1">
      <c r="I244" s="87"/>
    </row>
    <row r="245" ht="15.75" customHeight="1">
      <c r="I245" s="87"/>
    </row>
    <row r="246" ht="15.75" customHeight="1">
      <c r="I246" s="87"/>
    </row>
    <row r="247" ht="15.75" customHeight="1">
      <c r="I247" s="87"/>
    </row>
    <row r="248" ht="15.75" customHeight="1">
      <c r="I248" s="87"/>
    </row>
    <row r="249" ht="15.75" customHeight="1">
      <c r="I249" s="87"/>
    </row>
    <row r="250" ht="15.75" customHeight="1">
      <c r="I250" s="87"/>
    </row>
    <row r="251" ht="15.75" customHeight="1">
      <c r="I251" s="87"/>
    </row>
    <row r="252" ht="15.75" customHeight="1">
      <c r="I252" s="87"/>
    </row>
    <row r="253" ht="15.75" customHeight="1">
      <c r="I253" s="87"/>
    </row>
    <row r="254" ht="15.75" customHeight="1">
      <c r="I254" s="87"/>
    </row>
    <row r="255" ht="15.75" customHeight="1">
      <c r="I255" s="87"/>
    </row>
    <row r="256" ht="15.75" customHeight="1">
      <c r="I256" s="87"/>
    </row>
    <row r="257" ht="15.75" customHeight="1">
      <c r="I257" s="87"/>
    </row>
    <row r="258" ht="15.75" customHeight="1">
      <c r="I258" s="87"/>
    </row>
    <row r="259" ht="15.75" customHeight="1">
      <c r="I259" s="87"/>
    </row>
    <row r="260" ht="15.75" customHeight="1">
      <c r="I260" s="87"/>
    </row>
    <row r="261" ht="15.75" customHeight="1">
      <c r="I261" s="87"/>
    </row>
    <row r="262" ht="15.75" customHeight="1">
      <c r="I262" s="87"/>
    </row>
    <row r="263" ht="15.75" customHeight="1">
      <c r="I263" s="87"/>
    </row>
    <row r="264" ht="15.75" customHeight="1">
      <c r="I264" s="87"/>
    </row>
    <row r="265" ht="15.75" customHeight="1">
      <c r="I265" s="87"/>
    </row>
    <row r="266" ht="15.75" customHeight="1">
      <c r="I266" s="87"/>
    </row>
    <row r="267" ht="15.75" customHeight="1">
      <c r="I267" s="87"/>
    </row>
    <row r="268" ht="15.75" customHeight="1">
      <c r="I268" s="87"/>
    </row>
    <row r="269" ht="15.75" customHeight="1">
      <c r="I269" s="87"/>
    </row>
    <row r="270" ht="15.75" customHeight="1">
      <c r="I270" s="87"/>
    </row>
    <row r="271" ht="15.75" customHeight="1">
      <c r="I271" s="87"/>
    </row>
    <row r="272" ht="15.75" customHeight="1">
      <c r="I272" s="87"/>
    </row>
    <row r="273" ht="15.75" customHeight="1">
      <c r="I273" s="87"/>
    </row>
    <row r="274" ht="15.75" customHeight="1">
      <c r="I274" s="87"/>
    </row>
    <row r="275" ht="15.75" customHeight="1">
      <c r="I275" s="87"/>
    </row>
    <row r="276" ht="15.75" customHeight="1">
      <c r="I276" s="87"/>
    </row>
    <row r="277" ht="15.75" customHeight="1">
      <c r="I277" s="87"/>
    </row>
    <row r="278" ht="15.75" customHeight="1">
      <c r="I278" s="87"/>
    </row>
    <row r="279" ht="15.75" customHeight="1">
      <c r="I279" s="87"/>
    </row>
    <row r="280" ht="15.75" customHeight="1">
      <c r="I280" s="87"/>
    </row>
    <row r="281" ht="15.75" customHeight="1">
      <c r="I281" s="87"/>
    </row>
    <row r="282" ht="15.75" customHeight="1">
      <c r="I282" s="87"/>
    </row>
    <row r="283" ht="15.75" customHeight="1">
      <c r="I283" s="87"/>
    </row>
    <row r="284" ht="15.75" customHeight="1">
      <c r="I284" s="87"/>
    </row>
    <row r="285" ht="15.75" customHeight="1">
      <c r="I285" s="87"/>
    </row>
    <row r="286" ht="15.75" customHeight="1">
      <c r="I286" s="87"/>
    </row>
    <row r="287" ht="15.75" customHeight="1">
      <c r="I287" s="87"/>
    </row>
    <row r="288" ht="15.75" customHeight="1">
      <c r="I288" s="87"/>
    </row>
    <row r="289" ht="15.75" customHeight="1">
      <c r="I289" s="87"/>
    </row>
    <row r="290" ht="15.75" customHeight="1">
      <c r="I290" s="87"/>
    </row>
    <row r="291" ht="15.75" customHeight="1">
      <c r="I291" s="87"/>
    </row>
    <row r="292" ht="15.75" customHeight="1">
      <c r="I292" s="87"/>
    </row>
    <row r="293" ht="15.75" customHeight="1">
      <c r="I293" s="87"/>
    </row>
    <row r="294" ht="15.75" customHeight="1">
      <c r="I294" s="87"/>
    </row>
    <row r="295" ht="15.75" customHeight="1">
      <c r="I295" s="87"/>
    </row>
    <row r="296" ht="15.75" customHeight="1">
      <c r="I296" s="87"/>
    </row>
    <row r="297" ht="15.75" customHeight="1">
      <c r="I297" s="87"/>
    </row>
    <row r="298" ht="15.75" customHeight="1">
      <c r="I298" s="87"/>
    </row>
    <row r="299" ht="15.75" customHeight="1">
      <c r="I299" s="87"/>
    </row>
    <row r="300" ht="15.75" customHeight="1">
      <c r="I300" s="87"/>
    </row>
    <row r="301" ht="15.75" customHeight="1">
      <c r="I301" s="87"/>
    </row>
    <row r="302" ht="15.75" customHeight="1">
      <c r="I302" s="87"/>
    </row>
    <row r="303" ht="15.75" customHeight="1">
      <c r="I303" s="87"/>
    </row>
    <row r="304" ht="15.75" customHeight="1">
      <c r="I304" s="87"/>
    </row>
    <row r="305" ht="15.75" customHeight="1">
      <c r="I305" s="87"/>
    </row>
    <row r="306" ht="15.75" customHeight="1">
      <c r="I306" s="87"/>
    </row>
    <row r="307" ht="15.75" customHeight="1">
      <c r="I307" s="87"/>
    </row>
    <row r="308" ht="15.75" customHeight="1">
      <c r="I308" s="87"/>
    </row>
    <row r="309" ht="15.75" customHeight="1">
      <c r="I309" s="87"/>
    </row>
    <row r="310" ht="15.75" customHeight="1">
      <c r="I310" s="87"/>
    </row>
    <row r="311" ht="15.75" customHeight="1">
      <c r="I311" s="87"/>
    </row>
    <row r="312" ht="15.75" customHeight="1">
      <c r="I312" s="87"/>
    </row>
    <row r="313" ht="15.75" customHeight="1">
      <c r="I313" s="87"/>
    </row>
    <row r="314" ht="15.75" customHeight="1">
      <c r="I314" s="87"/>
    </row>
    <row r="315" ht="15.75" customHeight="1">
      <c r="I315" s="87"/>
    </row>
    <row r="316" ht="15.75" customHeight="1">
      <c r="I316" s="87"/>
    </row>
    <row r="317" ht="15.75" customHeight="1">
      <c r="I317" s="87"/>
    </row>
    <row r="318" ht="15.75" customHeight="1">
      <c r="I318" s="87"/>
    </row>
    <row r="319" ht="15.75" customHeight="1">
      <c r="I319" s="87"/>
    </row>
    <row r="320" ht="15.75" customHeight="1">
      <c r="I320" s="87"/>
    </row>
    <row r="321" ht="15.75" customHeight="1">
      <c r="I321" s="87"/>
    </row>
    <row r="322" ht="15.75" customHeight="1">
      <c r="I322" s="87"/>
    </row>
    <row r="323" ht="15.75" customHeight="1">
      <c r="I323" s="87"/>
    </row>
    <row r="324" ht="15.75" customHeight="1">
      <c r="I324" s="87"/>
    </row>
    <row r="325" ht="15.75" customHeight="1">
      <c r="I325" s="87"/>
    </row>
    <row r="326" ht="15.75" customHeight="1">
      <c r="I326" s="87"/>
    </row>
    <row r="327" ht="15.75" customHeight="1">
      <c r="I327" s="87"/>
    </row>
    <row r="328" ht="15.75" customHeight="1">
      <c r="I328" s="87"/>
    </row>
    <row r="329" ht="15.75" customHeight="1">
      <c r="I329" s="87"/>
    </row>
    <row r="330" ht="15.75" customHeight="1">
      <c r="I330" s="87"/>
    </row>
    <row r="331" ht="15.75" customHeight="1">
      <c r="I331" s="87"/>
    </row>
    <row r="332" ht="15.75" customHeight="1">
      <c r="I332" s="87"/>
    </row>
    <row r="333" ht="15.75" customHeight="1">
      <c r="I333" s="87"/>
    </row>
    <row r="334" ht="15.75" customHeight="1">
      <c r="I334" s="87"/>
    </row>
    <row r="335" ht="15.75" customHeight="1">
      <c r="I335" s="87"/>
    </row>
    <row r="336" ht="15.75" customHeight="1">
      <c r="I336" s="87"/>
    </row>
    <row r="337" ht="15.75" customHeight="1">
      <c r="I337" s="87"/>
    </row>
    <row r="338" ht="15.75" customHeight="1">
      <c r="I338" s="87"/>
    </row>
    <row r="339" ht="15.75" customHeight="1">
      <c r="I339" s="87"/>
    </row>
    <row r="340" ht="15.75" customHeight="1">
      <c r="I340" s="87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1" width="27.5"/>
  </cols>
  <sheetData>
    <row r="1" ht="15.75" customHeight="1">
      <c r="A1" s="105" t="s">
        <v>33</v>
      </c>
      <c r="B1" s="106"/>
      <c r="C1" s="106"/>
      <c r="D1" s="105" t="s">
        <v>35</v>
      </c>
      <c r="E1" s="106"/>
      <c r="F1" s="106"/>
      <c r="G1" s="105" t="s">
        <v>38</v>
      </c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</row>
    <row r="2" ht="15.75" customHeight="1">
      <c r="A2" s="107" t="s">
        <v>1</v>
      </c>
      <c r="B2" s="107" t="s">
        <v>2</v>
      </c>
      <c r="C2" s="107" t="s">
        <v>3</v>
      </c>
      <c r="D2" s="108" t="s">
        <v>0</v>
      </c>
      <c r="E2" s="107" t="s">
        <v>1</v>
      </c>
      <c r="F2" s="107" t="s">
        <v>2</v>
      </c>
      <c r="G2" s="108" t="s">
        <v>0</v>
      </c>
      <c r="H2" s="107" t="s">
        <v>1</v>
      </c>
      <c r="I2" s="107" t="s">
        <v>2</v>
      </c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</row>
    <row r="3" ht="15.75" customHeight="1">
      <c r="A3" s="109"/>
      <c r="B3" s="110"/>
      <c r="C3" s="110"/>
      <c r="D3" s="109"/>
      <c r="E3" s="110"/>
      <c r="F3" s="110"/>
      <c r="G3" s="109"/>
      <c r="H3" s="110"/>
      <c r="I3" s="110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</row>
    <row r="4" ht="15.75" customHeight="1">
      <c r="A4" s="111" t="str">
        <f>IFERROR(__xludf.DUMMYFUNCTION("UNIQUE(FILTER(Scope!$B1:$D107,Scope!$I1:$I107=A1))"),"Registration")</f>
        <v>Registration</v>
      </c>
      <c r="B4" s="106" t="str">
        <f>IFERROR(__xludf.DUMMYFUNCTION("""COMPUTED_VALUE"""),"Registration")</f>
        <v>Registration</v>
      </c>
      <c r="C4" s="106" t="str">
        <f>IFERROR(__xludf.DUMMYFUNCTION("""COMPUTED_VALUE"""),"Email Signup")</f>
        <v>Email Signup</v>
      </c>
      <c r="D4" s="111" t="str">
        <f>IFERROR(__xludf.DUMMYFUNCTION("UNIQUE(FILTER(Scope!$B1:$D107,Scope!$I1:$I107=D1))"),"Registration")</f>
        <v>Registration</v>
      </c>
      <c r="E4" s="106" t="str">
        <f>IFERROR(__xludf.DUMMYFUNCTION("""COMPUTED_VALUE"""),"Registration")</f>
        <v>Registration</v>
      </c>
      <c r="F4" s="106" t="str">
        <f>IFERROR(__xludf.DUMMYFUNCTION("""COMPUTED_VALUE"""),"Google Signup ")</f>
        <v>Google Signup </v>
      </c>
      <c r="G4" s="111" t="str">
        <f>IFERROR(__xludf.DUMMYFUNCTION("UNIQUE(FILTER(Scope!$B1:$D107,Scope!$I1:$I107=G1))"),"Registration")</f>
        <v>Registration</v>
      </c>
      <c r="H4" s="106" t="str">
        <f>IFERROR(__xludf.DUMMYFUNCTION("""COMPUTED_VALUE"""),"Registration")</f>
        <v>Registration</v>
      </c>
      <c r="I4" s="106" t="str">
        <f>IFERROR(__xludf.DUMMYFUNCTION("""COMPUTED_VALUE"""),"Invite-Based Registration")</f>
        <v>Invite-Based Registration</v>
      </c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</row>
    <row r="5" ht="15.75" customHeight="1">
      <c r="A5" s="111" t="str">
        <f>IFERROR(__xludf.DUMMYFUNCTION("""COMPUTED_VALUE"""),"Identification")</f>
        <v>Identification</v>
      </c>
      <c r="B5" s="106" t="str">
        <f>IFERROR(__xludf.DUMMYFUNCTION("""COMPUTED_VALUE"""),"Identification")</f>
        <v>Identification</v>
      </c>
      <c r="C5" s="106" t="str">
        <f>IFERROR(__xludf.DUMMYFUNCTION("""COMPUTED_VALUE"""),"Email Login")</f>
        <v>Email Login</v>
      </c>
      <c r="D5" s="111" t="str">
        <f>IFERROR(__xludf.DUMMYFUNCTION("""COMPUTED_VALUE"""),"Registration")</f>
        <v>Registration</v>
      </c>
      <c r="E5" s="106" t="str">
        <f>IFERROR(__xludf.DUMMYFUNCTION("""COMPUTED_VALUE"""),"Registration")</f>
        <v>Registration</v>
      </c>
      <c r="F5" s="106" t="str">
        <f>IFERROR(__xludf.DUMMYFUNCTION("""COMPUTED_VALUE"""),"Linkedin Signup")</f>
        <v>Linkedin Signup</v>
      </c>
      <c r="G5" s="111" t="str">
        <f>IFERROR(__xludf.DUMMYFUNCTION("""COMPUTED_VALUE"""),"Discovery")</f>
        <v>Discovery</v>
      </c>
      <c r="H5" s="106" t="str">
        <f>IFERROR(__xludf.DUMMYFUNCTION("""COMPUTED_VALUE"""),"Discovery")</f>
        <v>Discovery</v>
      </c>
      <c r="I5" s="106" t="str">
        <f>IFERROR(__xludf.DUMMYFUNCTION("""COMPUTED_VALUE"""),"Search Suggestions")</f>
        <v>Search Suggestions</v>
      </c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</row>
    <row r="6" ht="15.75" customHeight="1">
      <c r="A6" s="111" t="str">
        <f>IFERROR(__xludf.DUMMYFUNCTION("""COMPUTED_VALUE"""),"First Time Experience")</f>
        <v>First Time Experience</v>
      </c>
      <c r="B6" s="106" t="str">
        <f>IFERROR(__xludf.DUMMYFUNCTION("""COMPUTED_VALUE"""),"First Time Experience")</f>
        <v>First Time Experience</v>
      </c>
      <c r="C6" s="106" t="str">
        <f>IFERROR(__xludf.DUMMYFUNCTION("""COMPUTED_VALUE"""),"Role &amp; Profile Setup")</f>
        <v>Role &amp; Profile Setup</v>
      </c>
      <c r="D6" s="111" t="str">
        <f>IFERROR(__xludf.DUMMYFUNCTION("""COMPUTED_VALUE"""),"Identification")</f>
        <v>Identification</v>
      </c>
      <c r="E6" s="106" t="str">
        <f>IFERROR(__xludf.DUMMYFUNCTION("""COMPUTED_VALUE"""),"Identification")</f>
        <v>Identification</v>
      </c>
      <c r="F6" s="106" t="str">
        <f>IFERROR(__xludf.DUMMYFUNCTION("""COMPUTED_VALUE"""),"Linkedin Login")</f>
        <v>Linkedin Login</v>
      </c>
      <c r="G6" s="111" t="str">
        <f>IFERROR(__xludf.DUMMYFUNCTION("""COMPUTED_VALUE"""),"Discovery")</f>
        <v>Discovery</v>
      </c>
      <c r="H6" s="106" t="str">
        <f>IFERROR(__xludf.DUMMYFUNCTION("""COMPUTED_VALUE"""),"Global Search")</f>
        <v>Global Search</v>
      </c>
      <c r="I6" s="106" t="str">
        <f>IFERROR(__xludf.DUMMYFUNCTION("""COMPUTED_VALUE"""),"People to follow")</f>
        <v>People to follow</v>
      </c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</row>
    <row r="7" ht="15.75" customHeight="1">
      <c r="A7" s="111" t="str">
        <f>IFERROR(__xludf.DUMMYFUNCTION("""COMPUTED_VALUE"""),"First Time Experience")</f>
        <v>First Time Experience</v>
      </c>
      <c r="B7" s="106" t="str">
        <f>IFERROR(__xludf.DUMMYFUNCTION("""COMPUTED_VALUE"""),"First Time Experience")</f>
        <v>First Time Experience</v>
      </c>
      <c r="C7" s="106" t="str">
        <f>IFERROR(__xludf.DUMMYFUNCTION("""COMPUTED_VALUE"""),"Topic Preferences")</f>
        <v>Topic Preferences</v>
      </c>
      <c r="D7" s="111" t="str">
        <f>IFERROR(__xludf.DUMMYFUNCTION("""COMPUTED_VALUE"""),"Identification")</f>
        <v>Identification</v>
      </c>
      <c r="E7" s="106" t="str">
        <f>IFERROR(__xludf.DUMMYFUNCTION("""COMPUTED_VALUE"""),"Identification")</f>
        <v>Identification</v>
      </c>
      <c r="F7" s="106" t="str">
        <f>IFERROR(__xludf.DUMMYFUNCTION("""COMPUTED_VALUE"""),"Google Login")</f>
        <v>Google Login</v>
      </c>
      <c r="G7" s="111" t="str">
        <f>IFERROR(__xludf.DUMMYFUNCTION("""COMPUTED_VALUE"""),"Account Profile")</f>
        <v>Account Profile</v>
      </c>
      <c r="H7" s="106" t="str">
        <f>IFERROR(__xludf.DUMMYFUNCTION("""COMPUTED_VALUE"""),"User Profile")</f>
        <v>User Profile</v>
      </c>
      <c r="I7" s="106" t="str">
        <f>IFERROR(__xludf.DUMMYFUNCTION("""COMPUTED_VALUE"""),"Proffesional experience section")</f>
        <v>Proffesional experience section</v>
      </c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</row>
    <row r="8" ht="15.75" customHeight="1">
      <c r="A8" s="111" t="str">
        <f>IFERROR(__xludf.DUMMYFUNCTION("""COMPUTED_VALUE"""),"Discovery")</f>
        <v>Discovery</v>
      </c>
      <c r="B8" s="106" t="str">
        <f>IFERROR(__xludf.DUMMYFUNCTION("""COMPUTED_VALUE"""),"Discovery")</f>
        <v>Discovery</v>
      </c>
      <c r="C8" s="106" t="str">
        <f>IFERROR(__xludf.DUMMYFUNCTION("""COMPUTED_VALUE"""),"Unified Search Bar")</f>
        <v>Unified Search Bar</v>
      </c>
      <c r="D8" s="111" t="str">
        <f>IFERROR(__xludf.DUMMYFUNCTION("""COMPUTED_VALUE"""),"Identification")</f>
        <v>Identification</v>
      </c>
      <c r="E8" s="106" t="str">
        <f>IFERROR(__xludf.DUMMYFUNCTION("""COMPUTED_VALUE"""),"Identification")</f>
        <v>Identification</v>
      </c>
      <c r="F8" s="106" t="str">
        <f>IFERROR(__xludf.DUMMYFUNCTION("""COMPUTED_VALUE"""),"Session Management")</f>
        <v>Session Management</v>
      </c>
      <c r="G8" s="111" t="str">
        <f>IFERROR(__xludf.DUMMYFUNCTION("""COMPUTED_VALUE"""),"Account Profile")</f>
        <v>Account Profile</v>
      </c>
      <c r="H8" s="106" t="str">
        <f>IFERROR(__xludf.DUMMYFUNCTION("""COMPUTED_VALUE"""),"User Profile")</f>
        <v>User Profile</v>
      </c>
      <c r="I8" s="106" t="str">
        <f>IFERROR(__xludf.DUMMYFUNCTION("""COMPUTED_VALUE"""),"List of own posts")</f>
        <v>List of own posts</v>
      </c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</row>
    <row r="9" ht="15.75" customHeight="1">
      <c r="A9" s="111" t="str">
        <f>IFERROR(__xludf.DUMMYFUNCTION("""COMPUTED_VALUE"""),"Discovery")</f>
        <v>Discovery</v>
      </c>
      <c r="B9" s="106" t="str">
        <f>IFERROR(__xludf.DUMMYFUNCTION("""COMPUTED_VALUE"""),"Discovery")</f>
        <v>Discovery</v>
      </c>
      <c r="C9" s="106" t="str">
        <f>IFERROR(__xludf.DUMMYFUNCTION("""COMPUTED_VALUE"""),"Search Filters")</f>
        <v>Search Filters</v>
      </c>
      <c r="D9" s="111" t="str">
        <f>IFERROR(__xludf.DUMMYFUNCTION("""COMPUTED_VALUE"""),"First Time Experience")</f>
        <v>First Time Experience</v>
      </c>
      <c r="E9" s="106" t="str">
        <f>IFERROR(__xludf.DUMMYFUNCTION("""COMPUTED_VALUE"""),"First Time Experience")</f>
        <v>First Time Experience</v>
      </c>
      <c r="F9" s="106" t="str">
        <f>IFERROR(__xludf.DUMMYFUNCTION("""COMPUTED_VALUE"""),"Welcome Flow")</f>
        <v>Welcome Flow</v>
      </c>
      <c r="G9" s="111" t="str">
        <f>IFERROR(__xludf.DUMMYFUNCTION("""COMPUTED_VALUE"""),"Notification Hub")</f>
        <v>Notification Hub</v>
      </c>
      <c r="H9" s="106" t="str">
        <f>IFERROR(__xludf.DUMMYFUNCTION("""COMPUTED_VALUE"""),"Notification Hub")</f>
        <v>Notification Hub</v>
      </c>
      <c r="I9" s="106" t="str">
        <f>IFERROR(__xludf.DUMMYFUNCTION("""COMPUTED_VALUE"""),"Push Notifications")</f>
        <v>Push Notifications</v>
      </c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</row>
    <row r="10" ht="15.75" customHeight="1">
      <c r="A10" s="111" t="str">
        <f>IFERROR(__xludf.DUMMYFUNCTION("""COMPUTED_VALUE"""),"Account Profile")</f>
        <v>Account Profile</v>
      </c>
      <c r="B10" s="106" t="str">
        <f>IFERROR(__xludf.DUMMYFUNCTION("""COMPUTED_VALUE"""),"Account Profile")</f>
        <v>Account Profile</v>
      </c>
      <c r="C10" s="106" t="str">
        <f>IFERROR(__xludf.DUMMYFUNCTION("""COMPUTED_VALUE"""),"Basic Profile, KPIs")</f>
        <v>Basic Profile, KPIs</v>
      </c>
      <c r="D10" s="111" t="str">
        <f>IFERROR(__xludf.DUMMYFUNCTION("""COMPUTED_VALUE"""),"First Time Experience")</f>
        <v>First Time Experience</v>
      </c>
      <c r="E10" s="106" t="str">
        <f>IFERROR(__xludf.DUMMYFUNCTION("""COMPUTED_VALUE"""),"First Time Experience")</f>
        <v>First Time Experience</v>
      </c>
      <c r="F10" s="106" t="str">
        <f>IFERROR(__xludf.DUMMYFUNCTION("""COMPUTED_VALUE"""),"First Action Nudges")</f>
        <v>First Action Nudges</v>
      </c>
      <c r="G10" s="111" t="str">
        <f>IFERROR(__xludf.DUMMYFUNCTION("""COMPUTED_VALUE"""),"Message Section")</f>
        <v>Message Section</v>
      </c>
      <c r="H10" s="106" t="str">
        <f>IFERROR(__xludf.DUMMYFUNCTION("""COMPUTED_VALUE"""),"Message Section")</f>
        <v>Message Section</v>
      </c>
      <c r="I10" s="106" t="str">
        <f>IFERROR(__xludf.DUMMYFUNCTION("""COMPUTED_VALUE"""),"List of People, search function")</f>
        <v>List of People, search function</v>
      </c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</row>
    <row r="11" ht="15.75" customHeight="1">
      <c r="A11" s="111" t="str">
        <f>IFERROR(__xludf.DUMMYFUNCTION("""COMPUTED_VALUE"""),"Account Profile")</f>
        <v>Account Profile</v>
      </c>
      <c r="B11" s="106" t="str">
        <f>IFERROR(__xludf.DUMMYFUNCTION("""COMPUTED_VALUE"""),"Account Profile")</f>
        <v>Account Profile</v>
      </c>
      <c r="C11" s="106" t="str">
        <f>IFERROR(__xludf.DUMMYFUNCTION("""COMPUTED_VALUE"""),"Privacy Controls")</f>
        <v>Privacy Controls</v>
      </c>
      <c r="D11" s="111" t="str">
        <f>IFERROR(__xludf.DUMMYFUNCTION("""COMPUTED_VALUE"""),"Discovery")</f>
        <v>Discovery</v>
      </c>
      <c r="E11" s="106" t="str">
        <f>IFERROR(__xludf.DUMMYFUNCTION("""COMPUTED_VALUE"""),"Discovery")</f>
        <v>Discovery</v>
      </c>
      <c r="F11" s="106" t="str">
        <f>IFERROR(__xludf.DUMMYFUNCTION("""COMPUTED_VALUE"""),"AI Semantic Search")</f>
        <v>AI Semantic Search</v>
      </c>
      <c r="G11" s="111" t="str">
        <f>IFERROR(__xludf.DUMMYFUNCTION("""COMPUTED_VALUE"""),"Message Section")</f>
        <v>Message Section</v>
      </c>
      <c r="H11" s="106" t="str">
        <f>IFERROR(__xludf.DUMMYFUNCTION("""COMPUTED_VALUE"""),"Message Section")</f>
        <v>Message Section</v>
      </c>
      <c r="I11" s="106" t="str">
        <f>IFERROR(__xludf.DUMMYFUNCTION("""COMPUTED_VALUE"""),"Individual chat section")</f>
        <v>Individual chat section</v>
      </c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</row>
    <row r="12" ht="15.75" customHeight="1">
      <c r="A12" s="111" t="str">
        <f>IFERROR(__xludf.DUMMYFUNCTION("""COMPUTED_VALUE"""),"Notification Hub")</f>
        <v>Notification Hub</v>
      </c>
      <c r="B12" s="106" t="str">
        <f>IFERROR(__xludf.DUMMYFUNCTION("""COMPUTED_VALUE"""),"Notification Hub")</f>
        <v>Notification Hub</v>
      </c>
      <c r="C12" s="106" t="str">
        <f>IFERROR(__xludf.DUMMYFUNCTION("""COMPUTED_VALUE"""),"In-App Alerts")</f>
        <v>In-App Alerts</v>
      </c>
      <c r="D12" s="111" t="str">
        <f>IFERROR(__xludf.DUMMYFUNCTION("""COMPUTED_VALUE"""),"Discovery")</f>
        <v>Discovery</v>
      </c>
      <c r="E12" s="106" t="str">
        <f>IFERROR(__xludf.DUMMYFUNCTION("""COMPUTED_VALUE"""),"Discovery")</f>
        <v>Discovery</v>
      </c>
      <c r="F12" s="106" t="str">
        <f>IFERROR(__xludf.DUMMYFUNCTION("""COMPUTED_VALUE"""),"Recent  Searches")</f>
        <v>Recent  Searches</v>
      </c>
      <c r="G12" s="111" t="str">
        <f>IFERROR(__xludf.DUMMYFUNCTION("""COMPUTED_VALUE"""),"Message Section")</f>
        <v>Message Section</v>
      </c>
      <c r="H12" s="106" t="str">
        <f>IFERROR(__xludf.DUMMYFUNCTION("""COMPUTED_VALUE"""),"Message Section")</f>
        <v>Message Section</v>
      </c>
      <c r="I12" s="106" t="str">
        <f>IFERROR(__xludf.DUMMYFUNCTION("""COMPUTED_VALUE"""),"Individual chat settings")</f>
        <v>Individual chat settings</v>
      </c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</row>
    <row r="13" ht="15.75" customHeight="1">
      <c r="A13" s="111" t="str">
        <f>IFERROR(__xludf.DUMMYFUNCTION("""COMPUTED_VALUE"""),"Notification Hub")</f>
        <v>Notification Hub</v>
      </c>
      <c r="B13" s="106" t="str">
        <f>IFERROR(__xludf.DUMMYFUNCTION("""COMPUTED_VALUE"""),"Notification Hub")</f>
        <v>Notification Hub</v>
      </c>
      <c r="C13" s="106" t="str">
        <f>IFERROR(__xludf.DUMMYFUNCTION("""COMPUTED_VALUE"""),"Email Notifications")</f>
        <v>Email Notifications</v>
      </c>
      <c r="D13" s="111" t="str">
        <f>IFERROR(__xludf.DUMMYFUNCTION("""COMPUTED_VALUE"""),"Account Profile")</f>
        <v>Account Profile</v>
      </c>
      <c r="E13" s="106" t="str">
        <f>IFERROR(__xludf.DUMMYFUNCTION("""COMPUTED_VALUE"""),"Account Profile")</f>
        <v>Account Profile</v>
      </c>
      <c r="F13" s="106" t="str">
        <f>IFERROR(__xludf.DUMMYFUNCTION("""COMPUTED_VALUE"""),"Activity Overview")</f>
        <v>Activity Overview</v>
      </c>
      <c r="G13" s="111" t="str">
        <f>IFERROR(__xludf.DUMMYFUNCTION("""COMPUTED_VALUE"""),"Community Section")</f>
        <v>Community Section</v>
      </c>
      <c r="H13" s="106" t="str">
        <f>IFERROR(__xludf.DUMMYFUNCTION("""COMPUTED_VALUE"""),"Community section")</f>
        <v>Community section</v>
      </c>
      <c r="I13" s="106" t="str">
        <f>IFERROR(__xludf.DUMMYFUNCTION("""COMPUTED_VALUE"""),"KPIs, Leaders follow section")</f>
        <v>KPIs, Leaders follow section</v>
      </c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</row>
    <row r="14" ht="15.75" customHeight="1">
      <c r="A14" s="111" t="str">
        <f>IFERROR(__xludf.DUMMYFUNCTION("""COMPUTED_VALUE"""),"Personalized Home Feed")</f>
        <v>Personalized Home Feed</v>
      </c>
      <c r="B14" s="106" t="str">
        <f>IFERROR(__xludf.DUMMYFUNCTION("""COMPUTED_VALUE"""),"Personalized Home Feed")</f>
        <v>Personalized Home Feed</v>
      </c>
      <c r="C14" s="106" t="str">
        <f>IFERROR(__xludf.DUMMYFUNCTION("""COMPUTED_VALUE"""),"Content Feed")</f>
        <v>Content Feed</v>
      </c>
      <c r="D14" s="111" t="str">
        <f>IFERROR(__xludf.DUMMYFUNCTION("""COMPUTED_VALUE"""),"Account Profile")</f>
        <v>Account Profile</v>
      </c>
      <c r="E14" s="106" t="str">
        <f>IFERROR(__xludf.DUMMYFUNCTION("""COMPUTED_VALUE"""),"Account Profile")</f>
        <v>Account Profile</v>
      </c>
      <c r="F14" s="106" t="str">
        <f>IFERROR(__xludf.DUMMYFUNCTION("""COMPUTED_VALUE"""),"Badges &amp; Contributions")</f>
        <v>Badges &amp; Contributions</v>
      </c>
      <c r="G14" s="111" t="str">
        <f>IFERROR(__xludf.DUMMYFUNCTION("""COMPUTED_VALUE"""),"Analytics")</f>
        <v>Analytics</v>
      </c>
      <c r="H14" s="106" t="str">
        <f>IFERROR(__xludf.DUMMYFUNCTION("""COMPUTED_VALUE"""),"Analytics")</f>
        <v>Analytics</v>
      </c>
      <c r="I14" s="106" t="str">
        <f>IFERROR(__xludf.DUMMYFUNCTION("""COMPUTED_VALUE"""),"Topic Trends, Engagement Stats")</f>
        <v>Topic Trends, Engagement Stats</v>
      </c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</row>
    <row r="15" ht="15.75" customHeight="1">
      <c r="A15" s="111" t="str">
        <f>IFERROR(__xludf.DUMMYFUNCTION("""COMPUTED_VALUE"""),"Personalized Home Feed")</f>
        <v>Personalized Home Feed</v>
      </c>
      <c r="B15" s="106" t="str">
        <f>IFERROR(__xludf.DUMMYFUNCTION("""COMPUTED_VALUE"""),"Home Feed")</f>
        <v>Home Feed</v>
      </c>
      <c r="C15" s="106" t="str">
        <f>IFERROR(__xludf.DUMMYFUNCTION("""COMPUTED_VALUE"""),"Create new post")</f>
        <v>Create new post</v>
      </c>
      <c r="D15" s="111" t="str">
        <f>IFERROR(__xludf.DUMMYFUNCTION("""COMPUTED_VALUE"""),"Notification Hub")</f>
        <v>Notification Hub</v>
      </c>
      <c r="E15" s="106" t="str">
        <f>IFERROR(__xludf.DUMMYFUNCTION("""COMPUTED_VALUE"""),"Notification Hub")</f>
        <v>Notification Hub</v>
      </c>
      <c r="F15" s="106" t="str">
        <f>IFERROR(__xludf.DUMMYFUNCTION("""COMPUTED_VALUE"""),"Notification Settings")</f>
        <v>Notification Settings</v>
      </c>
      <c r="G15" s="111" t="str">
        <f>IFERROR(__xludf.DUMMYFUNCTION("""COMPUTED_VALUE"""),"Analytics")</f>
        <v>Analytics</v>
      </c>
      <c r="H15" s="106" t="str">
        <f>IFERROR(__xludf.DUMMYFUNCTION("""COMPUTED_VALUE"""),"Analytics")</f>
        <v>Analytics</v>
      </c>
      <c r="I15" s="106" t="str">
        <f>IFERROR(__xludf.DUMMYFUNCTION("""COMPUTED_VALUE"""),"Anonymized Insights, Content Performance, Audience Segmentation")</f>
        <v>Anonymized Insights, Content Performance, Audience Segmentation</v>
      </c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</row>
    <row r="16" ht="15.75" customHeight="1">
      <c r="A16" s="111" t="str">
        <f>IFERROR(__xludf.DUMMYFUNCTION("""COMPUTED_VALUE"""),"Personalized Home Feed")</f>
        <v>Personalized Home Feed</v>
      </c>
      <c r="B16" s="106" t="str">
        <f>IFERROR(__xludf.DUMMYFUNCTION("""COMPUTED_VALUE"""),"Personalized Home Feed")</f>
        <v>Personalized Home Feed</v>
      </c>
      <c r="C16" s="106" t="str">
        <f>IFERROR(__xludf.DUMMYFUNCTION("""COMPUTED_VALUE"""),"Feed Personalization")</f>
        <v>Feed Personalization</v>
      </c>
      <c r="D16" s="111" t="str">
        <f>IFERROR(__xludf.DUMMYFUNCTION("""COMPUTED_VALUE"""),"Influencer Feed")</f>
        <v>Influencer Feed</v>
      </c>
      <c r="E16" s="106" t="str">
        <f>IFERROR(__xludf.DUMMYFUNCTION("""COMPUTED_VALUE"""),"Influencer Feed")</f>
        <v>Influencer Feed</v>
      </c>
      <c r="F16" s="106" t="str">
        <f>IFERROR(__xludf.DUMMYFUNCTION("""COMPUTED_VALUE"""),"Thought Leadership Posts, Inspiring Videos, Case Studies, AMA Highlights")</f>
        <v>Thought Leadership Posts, Inspiring Videos, Case Studies, AMA Highlights</v>
      </c>
      <c r="G16" s="111" t="str">
        <f>IFERROR(__xludf.DUMMYFUNCTION("""COMPUTED_VALUE"""),"Settings")</f>
        <v>Settings</v>
      </c>
      <c r="H16" s="106" t="str">
        <f>IFERROR(__xludf.DUMMYFUNCTION("""COMPUTED_VALUE"""),"Billing/ for creators")</f>
        <v>Billing/ for creators</v>
      </c>
      <c r="I16" s="106" t="str">
        <f>IFERROR(__xludf.DUMMYFUNCTION("""COMPUTED_VALUE"""),"Subscription Management")</f>
        <v>Subscription Management</v>
      </c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</row>
    <row r="17" ht="15.75" customHeight="1">
      <c r="A17" s="111" t="str">
        <f>IFERROR(__xludf.DUMMYFUNCTION("""COMPUTED_VALUE"""),"Personalized Home Feed")</f>
        <v>Personalized Home Feed</v>
      </c>
      <c r="B17" s="106" t="str">
        <f>IFERROR(__xludf.DUMMYFUNCTION("""COMPUTED_VALUE"""),"Personalized Home Feed")</f>
        <v>Personalized Home Feed</v>
      </c>
      <c r="C17" s="106" t="str">
        <f>IFERROR(__xludf.DUMMYFUNCTION("""COMPUTED_VALUE"""),"Interaction")</f>
        <v>Interaction</v>
      </c>
      <c r="D17" s="111" t="str">
        <f>IFERROR(__xludf.DUMMYFUNCTION("""COMPUTED_VALUE"""),"Influencer Feed")</f>
        <v>Influencer Feed</v>
      </c>
      <c r="E17" s="106" t="str">
        <f>IFERROR(__xludf.DUMMYFUNCTION("""COMPUTED_VALUE"""),"Influencer Feed")</f>
        <v>Influencer Feed</v>
      </c>
      <c r="F17" s="106" t="str">
        <f>IFERROR(__xludf.DUMMYFUNCTION("""COMPUTED_VALUE"""),"Commenting, Liking, Sharing,Mute Topics,Follow / Unfollow Topics,Report Content")</f>
        <v>Commenting, Liking, Sharing,Mute Topics,Follow / Unfollow Topics,Report Content</v>
      </c>
      <c r="G17" s="111" t="str">
        <f>IFERROR(__xludf.DUMMYFUNCTION("""COMPUTED_VALUE"""),"Settings")</f>
        <v>Settings</v>
      </c>
      <c r="H17" s="106" t="str">
        <f>IFERROR(__xludf.DUMMYFUNCTION("""COMPUTED_VALUE"""),"Billing/ for creators")</f>
        <v>Billing/ for creators</v>
      </c>
      <c r="I17" s="106" t="str">
        <f>IFERROR(__xludf.DUMMYFUNCTION("""COMPUTED_VALUE"""),"Creator tools, proffesional dashboard")</f>
        <v>Creator tools, proffesional dashboard</v>
      </c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</row>
    <row r="18" ht="15.75" customHeight="1">
      <c r="A18" s="111" t="str">
        <f>IFERROR(__xludf.DUMMYFUNCTION("""COMPUTED_VALUE"""),"Personalized Home Feed")</f>
        <v>Personalized Home Feed</v>
      </c>
      <c r="B18" s="106" t="str">
        <f>IFERROR(__xludf.DUMMYFUNCTION("""COMPUTED_VALUE"""),"Home Feed")</f>
        <v>Home Feed</v>
      </c>
      <c r="C18" s="106" t="str">
        <f>IFERROR(__xludf.DUMMYFUNCTION("""COMPUTED_VALUE"""),"Comments screen, interaction")</f>
        <v>Comments screen, interaction</v>
      </c>
      <c r="D18" s="111" t="str">
        <f>IFERROR(__xludf.DUMMYFUNCTION("""COMPUTED_VALUE"""),"Contribution")</f>
        <v>Contribution</v>
      </c>
      <c r="E18" s="106" t="str">
        <f>IFERROR(__xludf.DUMMYFUNCTION("""COMPUTED_VALUE"""),"Contribution")</f>
        <v>Contribution</v>
      </c>
      <c r="F18" s="106" t="str">
        <f>IFERROR(__xludf.DUMMYFUNCTION("""COMPUTED_VALUE"""),"Tag Peers, Topic-based Discussions, Anonymous Posting ")</f>
        <v>Tag Peers, Topic-based Discussions, Anonymous Posting </v>
      </c>
      <c r="G18" s="111" t="str">
        <f>IFERROR(__xludf.DUMMYFUNCTION("""COMPUTED_VALUE"""),"Common Module")</f>
        <v>Common Module</v>
      </c>
      <c r="H18" s="106" t="str">
        <f>IFERROR(__xludf.DUMMYFUNCTION("""COMPUTED_VALUE"""),"Admin Controls")</f>
        <v>Admin Controls</v>
      </c>
      <c r="I18" s="106" t="str">
        <f>IFERROR(__xludf.DUMMYFUNCTION("""COMPUTED_VALUE"""),"Mgmt Screen for admin controls")</f>
        <v>Mgmt Screen for admin controls</v>
      </c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</row>
    <row r="19" ht="15.75" customHeight="1">
      <c r="A19" s="111" t="str">
        <f>IFERROR(__xludf.DUMMYFUNCTION("""COMPUTED_VALUE"""),"Personalized Home Feed")</f>
        <v>Personalized Home Feed</v>
      </c>
      <c r="B19" s="106" t="str">
        <f>IFERROR(__xludf.DUMMYFUNCTION("""COMPUTED_VALUE"""),"Home Feed")</f>
        <v>Home Feed</v>
      </c>
      <c r="C19" s="106" t="str">
        <f>IFERROR(__xludf.DUMMYFUNCTION("""COMPUTED_VALUE"""),"Share post interaction")</f>
        <v>Share post interaction</v>
      </c>
      <c r="D19" s="111" t="str">
        <f>IFERROR(__xludf.DUMMYFUNCTION("""COMPUTED_VALUE"""),"Resource Library")</f>
        <v>Resource Library</v>
      </c>
      <c r="E19" s="106" t="str">
        <f>IFERROR(__xludf.DUMMYFUNCTION("""COMPUTED_VALUE"""),"Resource Library")</f>
        <v>Resource Library</v>
      </c>
      <c r="F19" s="106" t="str">
        <f>IFERROR(__xludf.DUMMYFUNCTION("""COMPUTED_VALUE"""),"eBooks, Templates, Checklists")</f>
        <v>eBooks, Templates, Checklists</v>
      </c>
      <c r="G19" s="111" t="str">
        <f>IFERROR(__xludf.DUMMYFUNCTION("""COMPUTED_VALUE"""),"Common Module")</f>
        <v>Common Module</v>
      </c>
      <c r="H19" s="106" t="str">
        <f>IFERROR(__xludf.DUMMYFUNCTION("""COMPUTED_VALUE"""),"Admin Module")</f>
        <v>Admin Module</v>
      </c>
      <c r="I19" s="106" t="str">
        <f>IFERROR(__xludf.DUMMYFUNCTION("""COMPUTED_VALUE"""),"User Review and Act to delete or inactivate user
User activity log
Dashboard with emetrics on user patterns
Resouce Mgmt Module")</f>
        <v>User Review and Act to delete or inactivate user
User activity log
Dashboard with emetrics on user patterns
Resouce Mgmt Module</v>
      </c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</row>
    <row r="20" ht="15.75" customHeight="1">
      <c r="A20" s="111" t="str">
        <f>IFERROR(__xludf.DUMMYFUNCTION("""COMPUTED_VALUE"""),"Contribution")</f>
        <v>Contribution</v>
      </c>
      <c r="B20" s="106" t="str">
        <f>IFERROR(__xludf.DUMMYFUNCTION("""COMPUTED_VALUE"""),"Contribution")</f>
        <v>Contribution</v>
      </c>
      <c r="C20" s="106" t="str">
        <f>IFERROR(__xludf.DUMMYFUNCTION("""COMPUTED_VALUE"""),"Ask Questions, Share Case Studies, Run Polls, Publish Short Insights / Articles")</f>
        <v>Ask Questions, Share Case Studies, Run Polls, Publish Short Insights / Articles</v>
      </c>
      <c r="D20" s="111" t="str">
        <f>IFERROR(__xludf.DUMMYFUNCTION("""COMPUTED_VALUE"""),"Resource Library")</f>
        <v>Resource Library</v>
      </c>
      <c r="E20" s="106" t="str">
        <f>IFERROR(__xludf.DUMMYFUNCTION("""COMPUTED_VALUE"""),"Resource Library")</f>
        <v>Resource Library</v>
      </c>
      <c r="F20" s="106" t="str">
        <f>IFERROR(__xludf.DUMMYFUNCTION("""COMPUTED_VALUE"""),"Categorization by Topic/Role, Search &amp; Filter Resources")</f>
        <v>Categorization by Topic/Role, Search &amp; Filter Resources</v>
      </c>
      <c r="G20" s="111" t="str">
        <f>IFERROR(__xludf.DUMMYFUNCTION("""COMPUTED_VALUE"""),"Bussiness Module")</f>
        <v>Bussiness Module</v>
      </c>
      <c r="H20" s="106" t="str">
        <f>IFERROR(__xludf.DUMMYFUNCTION("""COMPUTED_VALUE"""),"Filter and Searching")</f>
        <v>Filter and Searching</v>
      </c>
      <c r="I20" s="106" t="str">
        <f>IFERROR(__xludf.DUMMYFUNCTION("""COMPUTED_VALUE"""),"Unified Search Bar, Search Filters ,AI Semantic Search, Search Suggestions, Recent  Searches")</f>
        <v>Unified Search Bar, Search Filters ,AI Semantic Search, Search Suggestions, Recent  Searches</v>
      </c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</row>
    <row r="21" ht="15.75" customHeight="1">
      <c r="A21" s="111" t="str">
        <f>IFERROR(__xludf.DUMMYFUNCTION("""COMPUTED_VALUE"""),"Buyer’s Guide / Sponsors")</f>
        <v>Buyer’s Guide / Sponsors</v>
      </c>
      <c r="B21" s="106" t="str">
        <f>IFERROR(__xludf.DUMMYFUNCTION("""COMPUTED_VALUE"""),"Buyer’s Guide / Sponsors")</f>
        <v>Buyer’s Guide / Sponsors</v>
      </c>
      <c r="C21" s="106" t="str">
        <f>IFERROR(__xludf.DUMMYFUNCTION("""COMPUTED_VALUE"""),"User Ratings &amp; Reviews, Lead Capture for Vendors")</f>
        <v>User Ratings &amp; Reviews, Lead Capture for Vendors</v>
      </c>
      <c r="D21" s="111" t="str">
        <f>IFERROR(__xludf.DUMMYFUNCTION("""COMPUTED_VALUE"""),"Resource Library")</f>
        <v>Resource Library</v>
      </c>
      <c r="E21" s="106" t="str">
        <f>IFERROR(__xludf.DUMMYFUNCTION("""COMPUTED_VALUE"""),"Resource Library")</f>
        <v>Resource Library</v>
      </c>
      <c r="F21" s="106" t="str">
        <f>IFERROR(__xludf.DUMMYFUNCTION("""COMPUTED_VALUE"""),"User Ratings &amp; Reviews, Bookmark / Save for Later")</f>
        <v>User Ratings &amp; Reviews, Bookmark / Save for Later</v>
      </c>
      <c r="G21" s="111" t="str">
        <f>IFERROR(__xludf.DUMMYFUNCTION("""COMPUTED_VALUE"""),"Bussiness Module")</f>
        <v>Bussiness Module</v>
      </c>
      <c r="H21" s="106" t="str">
        <f>IFERROR(__xludf.DUMMYFUNCTION("""COMPUTED_VALUE"""),"Dashboard &amp; Analytics ")</f>
        <v>Dashboard &amp; Analytics </v>
      </c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</row>
    <row r="22" ht="15.75" customHeight="1">
      <c r="A22" s="111" t="str">
        <f>IFERROR(__xludf.DUMMYFUNCTION("""COMPUTED_VALUE"""),"Confessional Corner")</f>
        <v>Confessional Corner</v>
      </c>
      <c r="B22" s="106" t="str">
        <f>IFERROR(__xludf.DUMMYFUNCTION("""COMPUTED_VALUE"""),"Confessional Corner")</f>
        <v>Confessional Corner</v>
      </c>
      <c r="C22" s="106" t="str">
        <f>IFERROR(__xludf.DUMMYFUNCTION("""COMPUTED_VALUE"""),"Sensitive Topics Collaboration, Optional Expert Input, Thread Privacy Controls")</f>
        <v>Sensitive Topics Collaboration, Optional Expert Input, Thread Privacy Controls</v>
      </c>
      <c r="D22" s="111" t="str">
        <f>IFERROR(__xludf.DUMMYFUNCTION("""COMPUTED_VALUE"""),"Events &amp; AMAs")</f>
        <v>Events &amp; AMAs</v>
      </c>
      <c r="E22" s="106" t="str">
        <f>IFERROR(__xludf.DUMMYFUNCTION("""COMPUTED_VALUE"""),"Events &amp; AMAs")</f>
        <v>Events &amp; AMAs</v>
      </c>
      <c r="F22" s="106" t="str">
        <f>IFERROR(__xludf.DUMMYFUNCTION("""COMPUTED_VALUE"""),"Upcoming Live Sessions, Recording Library, Topic Filters / Search")</f>
        <v>Upcoming Live Sessions, Recording Library, Topic Filters / Search</v>
      </c>
      <c r="G22" s="111" t="str">
        <f>IFERROR(__xludf.DUMMYFUNCTION("""COMPUTED_VALUE"""),"Common Module")</f>
        <v>Common Module</v>
      </c>
      <c r="H22" s="106" t="str">
        <f>IFERROR(__xludf.DUMMYFUNCTION("""COMPUTED_VALUE"""),"Payment Gateway")</f>
        <v>Payment Gateway</v>
      </c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</row>
    <row r="23" ht="15.75" customHeight="1">
      <c r="A23" s="111" t="str">
        <f>IFERROR(__xludf.DUMMYFUNCTION("""COMPUTED_VALUE"""),"Settings")</f>
        <v>Settings</v>
      </c>
      <c r="B23" s="106" t="str">
        <f>IFERROR(__xludf.DUMMYFUNCTION("""COMPUTED_VALUE"""),"Privacy &amp; Safety")</f>
        <v>Privacy &amp; Safety</v>
      </c>
      <c r="C23" s="106" t="str">
        <f>IFERROR(__xludf.DUMMYFUNCTION("""COMPUTED_VALUE"""),"Account Privacy")</f>
        <v>Account Privacy</v>
      </c>
      <c r="D23" s="111" t="str">
        <f>IFERROR(__xludf.DUMMYFUNCTION("""COMPUTED_VALUE"""),"Events &amp; AMAs")</f>
        <v>Events &amp; AMAs</v>
      </c>
      <c r="E23" s="106" t="str">
        <f>IFERROR(__xludf.DUMMYFUNCTION("""COMPUTED_VALUE"""),"Events &amp; AMAs")</f>
        <v>Events &amp; AMAs</v>
      </c>
      <c r="F23" s="106" t="str">
        <f>IFERROR(__xludf.DUMMYFUNCTION("""COMPUTED_VALUE"""),"Ask Questions Live, Chat with Attendees, RSVP / Calendar Integration")</f>
        <v>Ask Questions Live, Chat with Attendees, RSVP / Calendar Integration</v>
      </c>
      <c r="G23" s="111" t="str">
        <f>IFERROR(__xludf.DUMMYFUNCTION("""COMPUTED_VALUE"""),"Common Module")</f>
        <v>Common Module</v>
      </c>
      <c r="H23" s="106" t="str">
        <f>IFERROR(__xludf.DUMMYFUNCTION("""COMPUTED_VALUE"""),"Archival")</f>
        <v>Archival</v>
      </c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</row>
    <row r="24" ht="15.75" customHeight="1">
      <c r="A24" s="111" t="str">
        <f>IFERROR(__xludf.DUMMYFUNCTION("""COMPUTED_VALUE"""),"Settings")</f>
        <v>Settings</v>
      </c>
      <c r="B24" s="106" t="str">
        <f>IFERROR(__xludf.DUMMYFUNCTION("""COMPUTED_VALUE"""),"Privacy &amp; Safety")</f>
        <v>Privacy &amp; Safety</v>
      </c>
      <c r="C24" s="106" t="str">
        <f>IFERROR(__xludf.DUMMYFUNCTION("""COMPUTED_VALUE"""),"Private account / Account preferences")</f>
        <v>Private account / Account preferences</v>
      </c>
      <c r="D24" s="111" t="str">
        <f>IFERROR(__xludf.DUMMYFUNCTION("""COMPUTED_VALUE"""),"Buyer’s Guide / Sponsors")</f>
        <v>Buyer’s Guide / Sponsors</v>
      </c>
      <c r="E24" s="106" t="str">
        <f>IFERROR(__xludf.DUMMYFUNCTION("""COMPUTED_VALUE"""),"Buyer’s Guide / Sponsors")</f>
        <v>Buyer’s Guide / Sponsors</v>
      </c>
      <c r="F24" s="106" t="str">
        <f>IFERROR(__xludf.DUMMYFUNCTION("""COMPUTED_VALUE"""),"Contextual Sponsored Insights, Featured Recommendations")</f>
        <v>Contextual Sponsored Insights, Featured Recommendations</v>
      </c>
      <c r="G24" s="111" t="str">
        <f>IFERROR(__xludf.DUMMYFUNCTION("""COMPUTED_VALUE"""),"Common Module")</f>
        <v>Common Module</v>
      </c>
      <c r="H24" s="106" t="str">
        <f>IFERROR(__xludf.DUMMYFUNCTION("""COMPUTED_VALUE"""),"Admin Management")</f>
        <v>Admin Management</v>
      </c>
      <c r="I24" s="106" t="str">
        <f>IFERROR(__xludf.DUMMYFUNCTION("""COMPUTED_VALUE"""),"User Review and Act to delete or inactivate user
User activity log
Dashboard with emetrics on user patterns
Resouce Mgmt Module")</f>
        <v>User Review and Act to delete or inactivate user
User activity log
Dashboard with emetrics on user patterns
Resouce Mgmt Module</v>
      </c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</row>
    <row r="25" ht="15.75" customHeight="1">
      <c r="A25" s="111" t="str">
        <f>IFERROR(__xludf.DUMMYFUNCTION("""COMPUTED_VALUE"""),"Settings")</f>
        <v>Settings</v>
      </c>
      <c r="B25" s="106" t="str">
        <f>IFERROR(__xludf.DUMMYFUNCTION("""COMPUTED_VALUE"""),"About")</f>
        <v>About</v>
      </c>
      <c r="C25" s="106" t="str">
        <f>IFERROR(__xludf.DUMMYFUNCTION("""COMPUTED_VALUE"""),"Help Center")</f>
        <v>Help Center</v>
      </c>
      <c r="D25" s="111" t="str">
        <f>IFERROR(__xludf.DUMMYFUNCTION("""COMPUTED_VALUE"""),"Recognition &amp; Reputation")</f>
        <v>Recognition &amp; Reputation</v>
      </c>
      <c r="E25" s="106" t="str">
        <f>IFERROR(__xludf.DUMMYFUNCTION("""COMPUTED_VALUE"""),"Recognition &amp; Reputation")</f>
        <v>Recognition &amp; Reputation</v>
      </c>
      <c r="F25" s="106" t="str">
        <f>IFERROR(__xludf.DUMMYFUNCTION("""COMPUTED_VALUE"""),"Achievement Badges, Contribution Streaks")</f>
        <v>Achievement Badges, Contribution Streaks</v>
      </c>
      <c r="G25" s="111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</row>
    <row r="26" ht="15.75" customHeight="1">
      <c r="A26" s="111" t="str">
        <f>IFERROR(__xludf.DUMMYFUNCTION("""COMPUTED_VALUE"""),"Settings")</f>
        <v>Settings</v>
      </c>
      <c r="B26" s="106" t="str">
        <f>IFERROR(__xludf.DUMMYFUNCTION("""COMPUTED_VALUE"""),"About")</f>
        <v>About</v>
      </c>
      <c r="C26" s="106" t="str">
        <f>IFERROR(__xludf.DUMMYFUNCTION("""COMPUTED_VALUE"""),"Contact Support")</f>
        <v>Contact Support</v>
      </c>
      <c r="D26" s="111" t="str">
        <f>IFERROR(__xludf.DUMMYFUNCTION("""COMPUTED_VALUE"""),"Recognition &amp; Reputation")</f>
        <v>Recognition &amp; Reputation</v>
      </c>
      <c r="E26" s="106" t="str">
        <f>IFERROR(__xludf.DUMMYFUNCTION("""COMPUTED_VALUE"""),"Recognition &amp; Reputation")</f>
        <v>Recognition &amp; Reputation</v>
      </c>
      <c r="F26" s="106" t="str">
        <f>IFERROR(__xludf.DUMMYFUNCTION("""COMPUTED_VALUE"""),"Verified HR Credentials, Community Reputation Score")</f>
        <v>Verified HR Credentials, Community Reputation Score</v>
      </c>
      <c r="G26" s="111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</row>
    <row r="27" ht="15.75" customHeight="1">
      <c r="A27" s="111" t="str">
        <f>IFERROR(__xludf.DUMMYFUNCTION("""COMPUTED_VALUE"""),"Settings")</f>
        <v>Settings</v>
      </c>
      <c r="B27" s="106" t="str">
        <f>IFERROR(__xludf.DUMMYFUNCTION("""COMPUTED_VALUE"""),"About")</f>
        <v>About</v>
      </c>
      <c r="C27" s="106" t="str">
        <f>IFERROR(__xludf.DUMMYFUNCTION("""COMPUTED_VALUE"""),"Deactivate Account")</f>
        <v>Deactivate Account</v>
      </c>
      <c r="D27" s="111" t="str">
        <f>IFERROR(__xludf.DUMMYFUNCTION("""COMPUTED_VALUE"""),"Trust &amp; Safety")</f>
        <v>Trust &amp; Safety</v>
      </c>
      <c r="E27" s="106" t="str">
        <f>IFERROR(__xludf.DUMMYFUNCTION("""COMPUTED_VALUE"""),"Trust &amp; Safety")</f>
        <v>Trust &amp; Safety</v>
      </c>
      <c r="F27" s="106" t="str">
        <f>IFERROR(__xludf.DUMMYFUNCTION("""COMPUTED_VALUE"""),"Human + AI Moderation, Abuse / Spam Reporting")</f>
        <v>Human + AI Moderation, Abuse / Spam Reporting</v>
      </c>
      <c r="G27" s="111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</row>
    <row r="28" ht="15.75" customHeight="1">
      <c r="A28" s="111" t="str">
        <f>IFERROR(__xludf.DUMMYFUNCTION("""COMPUTED_VALUE"""),"Settings")</f>
        <v>Settings</v>
      </c>
      <c r="B28" s="106" t="str">
        <f>IFERROR(__xludf.DUMMYFUNCTION("""COMPUTED_VALUE"""),"About")</f>
        <v>About</v>
      </c>
      <c r="C28" s="106" t="str">
        <f>IFERROR(__xludf.DUMMYFUNCTION("""COMPUTED_VALUE"""),"Delete Account")</f>
        <v>Delete Account</v>
      </c>
      <c r="D28" s="111" t="str">
        <f>IFERROR(__xludf.DUMMYFUNCTION("""COMPUTED_VALUE"""),"Trust &amp; Safety")</f>
        <v>Trust &amp; Safety</v>
      </c>
      <c r="E28" s="106" t="str">
        <f>IFERROR(__xludf.DUMMYFUNCTION("""COMPUTED_VALUE"""),"Trust &amp; Safety")</f>
        <v>Trust &amp; Safety</v>
      </c>
      <c r="F28" s="106" t="str">
        <f>IFERROR(__xludf.DUMMYFUNCTION("""COMPUTED_VALUE"""),"Community Guidelines, Privacy Controls / Data Management")</f>
        <v>Community Guidelines, Privacy Controls / Data Management</v>
      </c>
      <c r="G28" s="111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</row>
    <row r="29" ht="15.75" customHeight="1">
      <c r="A29" s="111" t="str">
        <f>IFERROR(__xludf.DUMMYFUNCTION("""COMPUTED_VALUE"""),"Bussiness Module")</f>
        <v>Bussiness Module</v>
      </c>
      <c r="B29" s="106" t="str">
        <f>IFERROR(__xludf.DUMMYFUNCTION("""COMPUTED_VALUE"""),"Profile Management")</f>
        <v>Profile Management</v>
      </c>
      <c r="C29" s="106"/>
      <c r="D29" s="111" t="str">
        <f>IFERROR(__xludf.DUMMYFUNCTION("""COMPUTED_VALUE"""),"Settings")</f>
        <v>Settings</v>
      </c>
      <c r="E29" s="106" t="str">
        <f>IFERROR(__xludf.DUMMYFUNCTION("""COMPUTED_VALUE"""),"Settings")</f>
        <v>Settings</v>
      </c>
      <c r="F29" s="106" t="str">
        <f>IFERROR(__xludf.DUMMYFUNCTION("""COMPUTED_VALUE"""),"Connected Accounts")</f>
        <v>Connected Accounts</v>
      </c>
      <c r="G29" s="111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</row>
    <row r="30" ht="15.75" customHeight="1">
      <c r="A30" s="111" t="str">
        <f>IFERROR(__xludf.DUMMYFUNCTION("""COMPUTED_VALUE"""),"Bussiness Module")</f>
        <v>Bussiness Module</v>
      </c>
      <c r="B30" s="106" t="str">
        <f>IFERROR(__xludf.DUMMYFUNCTION("""COMPUTED_VALUE"""),"On-Boarding Process")</f>
        <v>On-Boarding Process</v>
      </c>
      <c r="C30" s="106"/>
      <c r="D30" s="111" t="str">
        <f>IFERROR(__xludf.DUMMYFUNCTION("""COMPUTED_VALUE"""),"Settings")</f>
        <v>Settings</v>
      </c>
      <c r="E30" s="106" t="str">
        <f>IFERROR(__xludf.DUMMYFUNCTION("""COMPUTED_VALUE"""),"Account Settings")</f>
        <v>Account Settings</v>
      </c>
      <c r="F30" s="106" t="str">
        <f>IFERROR(__xludf.DUMMYFUNCTION("""COMPUTED_VALUE"""),"Saved Posts, Archive Posts")</f>
        <v>Saved Posts, Archive Posts</v>
      </c>
      <c r="G30" s="111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</row>
    <row r="31" ht="15.75" customHeight="1">
      <c r="A31" s="111" t="str">
        <f>IFERROR(__xludf.DUMMYFUNCTION("""COMPUTED_VALUE"""),"Bussiness Module")</f>
        <v>Bussiness Module</v>
      </c>
      <c r="B31" s="106" t="str">
        <f>IFERROR(__xludf.DUMMYFUNCTION("""COMPUTED_VALUE"""),"Feed and Post Management")</f>
        <v>Feed and Post Management</v>
      </c>
      <c r="C31" s="106"/>
      <c r="D31" s="111" t="str">
        <f>IFERROR(__xludf.DUMMYFUNCTION("""COMPUTED_VALUE"""),"Settings")</f>
        <v>Settings</v>
      </c>
      <c r="E31" s="106" t="str">
        <f>IFERROR(__xludf.DUMMYFUNCTION("""COMPUTED_VALUE"""),"Settings")</f>
        <v>Settings</v>
      </c>
      <c r="F31" s="106" t="str">
        <f>IFERROR(__xludf.DUMMYFUNCTION("""COMPUTED_VALUE"""),"Topic Preferences")</f>
        <v>Topic Preferences</v>
      </c>
      <c r="G31" s="111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</row>
    <row r="32" ht="15.75" customHeight="1">
      <c r="A32" s="111" t="str">
        <f>IFERROR(__xludf.DUMMYFUNCTION("""COMPUTED_VALUE"""),"Bussiness Module")</f>
        <v>Bussiness Module</v>
      </c>
      <c r="B32" s="106" t="str">
        <f>IFERROR(__xludf.DUMMYFUNCTION("""COMPUTED_VALUE"""),"Collaboration")</f>
        <v>Collaboration</v>
      </c>
      <c r="C32" s="106" t="str">
        <f>IFERROR(__xludf.DUMMYFUNCTION("""COMPUTED_VALUE"""),"Topic-based Discussions, Anonymous Posting , Anonymous Discussions")</f>
        <v>Topic-based Discussions, Anonymous Posting , Anonymous Discussions</v>
      </c>
      <c r="D32" s="111" t="str">
        <f>IFERROR(__xludf.DUMMYFUNCTION("""COMPUTED_VALUE"""),"Settings")</f>
        <v>Settings</v>
      </c>
      <c r="E32" s="106" t="str">
        <f>IFERROR(__xludf.DUMMYFUNCTION("""COMPUTED_VALUE"""),"Settings")</f>
        <v>Settings</v>
      </c>
      <c r="F32" s="106" t="str">
        <f>IFERROR(__xludf.DUMMYFUNCTION("""COMPUTED_VALUE"""),"Feed Controls")</f>
        <v>Feed Controls</v>
      </c>
      <c r="G32" s="111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</row>
    <row r="33" ht="15.75" customHeight="1">
      <c r="A33" s="111" t="str">
        <f>IFERROR(__xludf.DUMMYFUNCTION("""COMPUTED_VALUE"""),"Bussiness Module")</f>
        <v>Bussiness Module</v>
      </c>
      <c r="B33" s="106" t="str">
        <f>IFERROR(__xludf.DUMMYFUNCTION("""COMPUTED_VALUE"""),"Event Management")</f>
        <v>Event Management</v>
      </c>
      <c r="C33" s="106" t="str">
        <f>IFERROR(__xludf.DUMMYFUNCTION("""COMPUTED_VALUE"""),"Upcoming Live Sessions, Recording Library, Topic Filters / Search
Ask Questions Live, Chat with Attendees, RSVP / Calendar Integration")</f>
        <v>Upcoming Live Sessions, Recording Library, Topic Filters / Search
Ask Questions Live, Chat with Attendees, RSVP / Calendar Integration</v>
      </c>
      <c r="D33" s="111" t="str">
        <f>IFERROR(__xludf.DUMMYFUNCTION("""COMPUTED_VALUE"""),"Settings")</f>
        <v>Settings</v>
      </c>
      <c r="E33" s="106" t="str">
        <f>IFERROR(__xludf.DUMMYFUNCTION("""COMPUTED_VALUE"""),"Settings")</f>
        <v>Settings</v>
      </c>
      <c r="F33" s="106" t="str">
        <f>IFERROR(__xludf.DUMMYFUNCTION("""COMPUTED_VALUE"""),"Anonymous Controls")</f>
        <v>Anonymous Controls</v>
      </c>
      <c r="G33" s="111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</row>
    <row r="34" ht="15.75" customHeight="1">
      <c r="A34" s="111" t="str">
        <f>IFERROR(__xludf.DUMMYFUNCTION("""COMPUTED_VALUE"""),"Bussiness Module")</f>
        <v>Bussiness Module</v>
      </c>
      <c r="B34" s="106" t="str">
        <f>IFERROR(__xludf.DUMMYFUNCTION("""COMPUTED_VALUE"""),"Upload and Download management")</f>
        <v>Upload and Download management</v>
      </c>
      <c r="C34" s="106"/>
      <c r="D34" s="111" t="str">
        <f>IFERROR(__xludf.DUMMYFUNCTION("""COMPUTED_VALUE"""),"Settings")</f>
        <v>Settings</v>
      </c>
      <c r="E34" s="106" t="str">
        <f>IFERROR(__xludf.DUMMYFUNCTION("""COMPUTED_VALUE"""),"App Settings")</f>
        <v>App Settings</v>
      </c>
      <c r="F34" s="106" t="str">
        <f>IFERROR(__xludf.DUMMYFUNCTION("""COMPUTED_VALUE"""),"General, theme settings")</f>
        <v>General, theme settings</v>
      </c>
      <c r="G34" s="111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</row>
    <row r="35" ht="15.75" customHeight="1">
      <c r="A35" s="111" t="str">
        <f>IFERROR(__xludf.DUMMYFUNCTION("""COMPUTED_VALUE"""),"Bussiness Module")</f>
        <v>Bussiness Module</v>
      </c>
      <c r="B35" s="106" t="str">
        <f>IFERROR(__xludf.DUMMYFUNCTION("""COMPUTED_VALUE"""),"Subscription Management")</f>
        <v>Subscription Management</v>
      </c>
      <c r="C35" s="106"/>
      <c r="D35" s="111" t="str">
        <f>IFERROR(__xludf.DUMMYFUNCTION("""COMPUTED_VALUE"""),"Settings")</f>
        <v>Settings</v>
      </c>
      <c r="E35" s="106" t="str">
        <f>IFERROR(__xludf.DUMMYFUNCTION("""COMPUTED_VALUE"""),"App Settings")</f>
        <v>App Settings</v>
      </c>
      <c r="F35" s="106" t="str">
        <f>IFERROR(__xludf.DUMMYFUNCTION("""COMPUTED_VALUE"""),"Notifications, language settings")</f>
        <v>Notifications, language settings</v>
      </c>
      <c r="G35" s="111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</row>
    <row r="36" ht="15.75" customHeight="1">
      <c r="A36" s="111" t="str">
        <f>IFERROR(__xludf.DUMMYFUNCTION("""COMPUTED_VALUE"""),"Common Module")</f>
        <v>Common Module</v>
      </c>
      <c r="B36" s="106" t="str">
        <f>IFERROR(__xludf.DUMMYFUNCTION("""COMPUTED_VALUE"""),"Streaming service")</f>
        <v>Streaming service</v>
      </c>
      <c r="C36" s="106" t="str">
        <f>IFERROR(__xludf.DUMMYFUNCTION("""COMPUTED_VALUE"""),"Real-Time Communication")</f>
        <v>Real-Time Communication</v>
      </c>
      <c r="D36" s="111" t="str">
        <f>IFERROR(__xludf.DUMMYFUNCTION("""COMPUTED_VALUE"""),"Settings")</f>
        <v>Settings</v>
      </c>
      <c r="E36" s="106" t="str">
        <f>IFERROR(__xludf.DUMMYFUNCTION("""COMPUTED_VALUE"""),"Settings")</f>
        <v>Settings</v>
      </c>
      <c r="F36" s="106" t="str">
        <f>IFERROR(__xludf.DUMMYFUNCTION("""COMPUTED_VALUE"""),"Block / Mute Users")</f>
        <v>Block / Mute Users</v>
      </c>
      <c r="G36" s="111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</row>
    <row r="37" ht="15.75" customHeight="1">
      <c r="A37" s="111" t="str">
        <f>IFERROR(__xludf.DUMMYFUNCTION("""COMPUTED_VALUE"""),"Common Module")</f>
        <v>Common Module</v>
      </c>
      <c r="B37" s="106" t="str">
        <f>IFERROR(__xludf.DUMMYFUNCTION("""COMPUTED_VALUE"""),"Notification managment")</f>
        <v>Notification managment</v>
      </c>
      <c r="C37" s="106"/>
      <c r="D37" s="111" t="str">
        <f>IFERROR(__xludf.DUMMYFUNCTION("""COMPUTED_VALUE"""),"Settings")</f>
        <v>Settings</v>
      </c>
      <c r="E37" s="106" t="str">
        <f>IFERROR(__xludf.DUMMYFUNCTION("""COMPUTED_VALUE"""),"Interactions")</f>
        <v>Interactions</v>
      </c>
      <c r="F37" s="106" t="str">
        <f>IFERROR(__xludf.DUMMYFUNCTION("""COMPUTED_VALUE"""),"Messages, replies, tags, mentions, Comments, sharing")</f>
        <v>Messages, replies, tags, mentions, Comments, sharing</v>
      </c>
      <c r="G37" s="111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</row>
    <row r="38" ht="15.75" customHeight="1">
      <c r="A38" s="111" t="str">
        <f>IFERROR(__xludf.DUMMYFUNCTION("""COMPUTED_VALUE"""),"Common Module")</f>
        <v>Common Module</v>
      </c>
      <c r="B38" s="106" t="str">
        <f>IFERROR(__xludf.DUMMYFUNCTION("""COMPUTED_VALUE"""),"CMS ")</f>
        <v>CMS </v>
      </c>
      <c r="C38" s="106"/>
      <c r="D38" s="111" t="str">
        <f>IFERROR(__xludf.DUMMYFUNCTION("""COMPUTED_VALUE"""),"Bussiness Module")</f>
        <v>Bussiness Module</v>
      </c>
      <c r="E38" s="106" t="str">
        <f>IFERROR(__xludf.DUMMYFUNCTION("""COMPUTED_VALUE"""),"Profile Management")</f>
        <v>Profile Management</v>
      </c>
      <c r="F38" s="106"/>
      <c r="G38" s="111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</row>
    <row r="39" ht="15.75" customHeight="1">
      <c r="A39" s="111" t="str">
        <f>IFERROR(__xludf.DUMMYFUNCTION("""COMPUTED_VALUE"""),"Common Module")</f>
        <v>Common Module</v>
      </c>
      <c r="B39" s="106" t="str">
        <f>IFERROR(__xludf.DUMMYFUNCTION("""COMPUTED_VALUE"""),"Authentication ")</f>
        <v>Authentication </v>
      </c>
      <c r="C39" s="106"/>
      <c r="D39" s="111" t="str">
        <f>IFERROR(__xludf.DUMMYFUNCTION("""COMPUTED_VALUE"""),"Bussiness Module")</f>
        <v>Bussiness Module</v>
      </c>
      <c r="E39" s="106" t="str">
        <f>IFERROR(__xludf.DUMMYFUNCTION("""COMPUTED_VALUE"""),"On-Boarding Process")</f>
        <v>On-Boarding Process</v>
      </c>
      <c r="F39" s="106"/>
      <c r="G39" s="111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</row>
    <row r="40" ht="15.75" customHeight="1">
      <c r="A40" s="111" t="str">
        <f>IFERROR(__xludf.DUMMYFUNCTION("""COMPUTED_VALUE"""),"Common Module")</f>
        <v>Common Module</v>
      </c>
      <c r="B40" s="106" t="str">
        <f>IFERROR(__xludf.DUMMYFUNCTION("""COMPUTED_VALUE"""),"RBAC")</f>
        <v>RBAC</v>
      </c>
      <c r="C40" s="106"/>
      <c r="D40" s="111" t="str">
        <f>IFERROR(__xludf.DUMMYFUNCTION("""COMPUTED_VALUE"""),"Bussiness Module")</f>
        <v>Bussiness Module</v>
      </c>
      <c r="E40" s="106" t="str">
        <f>IFERROR(__xludf.DUMMYFUNCTION("""COMPUTED_VALUE"""),"Feed and Post Management")</f>
        <v>Feed and Post Management</v>
      </c>
      <c r="F40" s="106"/>
      <c r="G40" s="111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</row>
    <row r="41" ht="15.75" customHeight="1">
      <c r="A41" s="111" t="str">
        <f>IFERROR(__xludf.DUMMYFUNCTION("""COMPUTED_VALUE"""),"Common Module")</f>
        <v>Common Module</v>
      </c>
      <c r="B41" s="106" t="str">
        <f>IFERROR(__xludf.DUMMYFUNCTION("""COMPUTED_VALUE"""),"Cache managment")</f>
        <v>Cache managment</v>
      </c>
      <c r="C41" s="106"/>
      <c r="D41" s="111" t="str">
        <f>IFERROR(__xludf.DUMMYFUNCTION("""COMPUTED_VALUE"""),"Bussiness Module")</f>
        <v>Bussiness Module</v>
      </c>
      <c r="E41" s="106" t="str">
        <f>IFERROR(__xludf.DUMMYFUNCTION("""COMPUTED_VALUE"""),"Collaboration")</f>
        <v>Collaboration</v>
      </c>
      <c r="F41" s="106" t="str">
        <f>IFERROR(__xludf.DUMMYFUNCTION("""COMPUTED_VALUE"""),"Topic-based Discussions, Anonymous Posting , Anonymous Discussions")</f>
        <v>Topic-based Discussions, Anonymous Posting , Anonymous Discussions</v>
      </c>
      <c r="G41" s="111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</row>
    <row r="42" ht="15.75" customHeight="1">
      <c r="A42" s="111" t="str">
        <f>IFERROR(__xludf.DUMMYFUNCTION("""COMPUTED_VALUE"""),"Common Module")</f>
        <v>Common Module</v>
      </c>
      <c r="B42" s="106" t="str">
        <f>IFERROR(__xludf.DUMMYFUNCTION("""COMPUTED_VALUE"""),"Orchestration Module")</f>
        <v>Orchestration Module</v>
      </c>
      <c r="C42" s="106"/>
      <c r="D42" s="111" t="str">
        <f>IFERROR(__xludf.DUMMYFUNCTION("""COMPUTED_VALUE"""),"Bussiness Module")</f>
        <v>Bussiness Module</v>
      </c>
      <c r="E42" s="106" t="str">
        <f>IFERROR(__xludf.DUMMYFUNCTION("""COMPUTED_VALUE"""),"Event Management")</f>
        <v>Event Management</v>
      </c>
      <c r="F42" s="106" t="str">
        <f>IFERROR(__xludf.DUMMYFUNCTION("""COMPUTED_VALUE"""),"Upcoming Live Sessions, Recording Library, Topic Filters / Search
Ask Questions Live, Chat with Attendees, RSVP / Calendar Integration")</f>
        <v>Upcoming Live Sessions, Recording Library, Topic Filters / Search
Ask Questions Live, Chat with Attendees, RSVP / Calendar Integration</v>
      </c>
      <c r="G42" s="111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</row>
    <row r="43" ht="15.75" customHeight="1">
      <c r="A43" s="111"/>
      <c r="B43" s="106"/>
      <c r="C43" s="106"/>
      <c r="D43" s="111" t="str">
        <f>IFERROR(__xludf.DUMMYFUNCTION("""COMPUTED_VALUE"""),"Bussiness Module")</f>
        <v>Bussiness Module</v>
      </c>
      <c r="E43" s="106" t="str">
        <f>IFERROR(__xludf.DUMMYFUNCTION("""COMPUTED_VALUE"""),"Help &amp; Support")</f>
        <v>Help &amp; Support</v>
      </c>
      <c r="F43" s="106"/>
      <c r="G43" s="111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</row>
    <row r="44" ht="15.75" customHeight="1">
      <c r="A44" s="111"/>
      <c r="B44" s="106"/>
      <c r="C44" s="106"/>
      <c r="D44" s="111" t="str">
        <f>IFERROR(__xludf.DUMMYFUNCTION("""COMPUTED_VALUE"""),"Bussiness Module")</f>
        <v>Bussiness Module</v>
      </c>
      <c r="E44" s="106" t="str">
        <f>IFERROR(__xludf.DUMMYFUNCTION("""COMPUTED_VALUE"""),"Action Module")</f>
        <v>Action Module</v>
      </c>
      <c r="F44" s="106" t="str">
        <f>IFERROR(__xludf.DUMMYFUNCTION("""COMPUTED_VALUE"""),"Chat, Comment, Like, Share, Rate and Review.
This a independent module which can be attach to any module like feed, live-streaming, posts, Help &amp; support")</f>
        <v>Chat, Comment, Like, Share, Rate and Review.
This a independent module which can be attach to any module like feed, live-streaming, posts, Help &amp; support</v>
      </c>
      <c r="G44" s="111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</row>
    <row r="45" ht="15.75" customHeight="1">
      <c r="A45" s="111"/>
      <c r="B45" s="106"/>
      <c r="C45" s="106"/>
      <c r="D45" s="111" t="str">
        <f>IFERROR(__xludf.DUMMYFUNCTION("""COMPUTED_VALUE"""),"Common Module")</f>
        <v>Common Module</v>
      </c>
      <c r="E45" s="106" t="str">
        <f>IFERROR(__xludf.DUMMYFUNCTION("""COMPUTED_VALUE"""),"Anonymous Control")</f>
        <v>Anonymous Control</v>
      </c>
      <c r="F45" s="106"/>
      <c r="G45" s="111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</row>
    <row r="46" ht="15.75" customHeight="1">
      <c r="A46" s="111"/>
      <c r="B46" s="106"/>
      <c r="C46" s="106"/>
      <c r="D46" s="111" t="str">
        <f>IFERROR(__xludf.DUMMYFUNCTION("""COMPUTED_VALUE"""),"Common Module")</f>
        <v>Common Module</v>
      </c>
      <c r="E46" s="106" t="str">
        <f>IFERROR(__xludf.DUMMYFUNCTION("""COMPUTED_VALUE"""),"Data Security and Data Privacy")</f>
        <v>Data Security and Data Privacy</v>
      </c>
      <c r="F46" s="106"/>
      <c r="G46" s="111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</row>
    <row r="47" ht="15.75" customHeight="1">
      <c r="A47" s="111"/>
      <c r="B47" s="106"/>
      <c r="C47" s="106"/>
      <c r="D47" s="111" t="str">
        <f>IFERROR(__xludf.DUMMYFUNCTION("""COMPUTED_VALUE"""),"Common Module")</f>
        <v>Common Module</v>
      </c>
      <c r="E47" s="106" t="str">
        <f>IFERROR(__xludf.DUMMYFUNCTION("""COMPUTED_VALUE"""),"User managment")</f>
        <v>User managment</v>
      </c>
      <c r="F47" s="106"/>
      <c r="G47" s="111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</row>
    <row r="48" ht="15.75" customHeight="1">
      <c r="A48" s="111"/>
      <c r="B48" s="106"/>
      <c r="C48" s="106"/>
      <c r="D48" s="111" t="str">
        <f>IFERROR(__xludf.DUMMYFUNCTION("""COMPUTED_VALUE"""),"Common Module")</f>
        <v>Common Module</v>
      </c>
      <c r="E48" s="106" t="str">
        <f>IFERROR(__xludf.DUMMYFUNCTION("""COMPUTED_VALUE"""),"Monitoring")</f>
        <v>Monitoring</v>
      </c>
      <c r="F48" s="106"/>
      <c r="G48" s="111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</row>
    <row r="49" ht="15.75" customHeight="1">
      <c r="A49" s="111"/>
      <c r="B49" s="106"/>
      <c r="C49" s="106"/>
      <c r="D49" s="111" t="str">
        <f>IFERROR(__xludf.DUMMYFUNCTION("""COMPUTED_VALUE"""),"Common Module")</f>
        <v>Common Module</v>
      </c>
      <c r="E49" s="106" t="str">
        <f>IFERROR(__xludf.DUMMYFUNCTION("""COMPUTED_VALUE"""),"Audit-history")</f>
        <v>Audit-history</v>
      </c>
      <c r="F49" s="106"/>
      <c r="G49" s="111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</row>
    <row r="50" ht="15.75" customHeight="1">
      <c r="A50" s="111"/>
      <c r="B50" s="106"/>
      <c r="C50" s="106"/>
      <c r="D50" s="111"/>
      <c r="E50" s="106"/>
      <c r="F50" s="106"/>
      <c r="G50" s="111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</row>
    <row r="51" ht="15.75" customHeight="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</row>
    <row r="52" ht="15.75" customHeight="1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</row>
    <row r="53" ht="15.75" customHeight="1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</row>
    <row r="54" ht="15.75" customHeight="1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</row>
    <row r="55" ht="15.75" customHeight="1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</row>
    <row r="56" ht="15.75" customHeight="1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</row>
    <row r="57" ht="15.75" customHeight="1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</row>
    <row r="58" ht="15.75" customHeight="1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</row>
    <row r="59" ht="15.75" customHeight="1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</row>
    <row r="60" ht="15.75" customHeight="1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</row>
    <row r="61" ht="15.75" customHeight="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</row>
    <row r="62" ht="15.75" customHeight="1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</row>
    <row r="63" ht="15.75" customHeight="1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</row>
    <row r="64" ht="15.75" customHeight="1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</row>
    <row r="65" ht="15.75" customHeight="1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</row>
    <row r="66" ht="15.75" customHeight="1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</row>
    <row r="67" ht="15.75" customHeight="1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</row>
    <row r="68" ht="15.75" customHeight="1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</row>
    <row r="69" ht="15.75" customHeight="1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</row>
    <row r="70" ht="15.75" customHeight="1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</row>
    <row r="71" ht="15.75" customHeight="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</row>
    <row r="72" ht="15.75" customHeight="1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</row>
    <row r="73" ht="15.75" customHeight="1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</row>
    <row r="74" ht="15.75" customHeight="1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</row>
    <row r="75" ht="15.75" customHeight="1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</row>
    <row r="76" ht="15.75" customHeight="1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</row>
    <row r="77" ht="15.75" customHeight="1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</row>
    <row r="78" ht="15.75" customHeight="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</row>
    <row r="79" ht="15.75" customHeight="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</row>
    <row r="80" ht="15.75" customHeight="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</row>
    <row r="81" ht="15.7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</row>
    <row r="82" ht="15.7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</row>
    <row r="83" ht="15.7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</row>
    <row r="84" ht="15.7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</row>
    <row r="85" ht="15.7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</row>
    <row r="86" ht="15.7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</row>
    <row r="87" ht="15.7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</row>
    <row r="88" ht="15.7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</row>
    <row r="89" ht="15.7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</row>
    <row r="90" ht="15.7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</row>
    <row r="91" ht="15.7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</row>
    <row r="92" ht="15.7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</row>
    <row r="93" ht="15.7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</row>
    <row r="94" ht="15.7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</row>
    <row r="95" ht="15.7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</row>
    <row r="96" ht="15.7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</row>
    <row r="97" ht="15.7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</row>
    <row r="98" ht="15.7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</row>
    <row r="99" ht="15.7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</row>
    <row r="100" ht="15.7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</row>
    <row r="101" ht="15.7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</row>
    <row r="102" ht="15.7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</row>
    <row r="103" ht="15.7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</row>
    <row r="104" ht="15.7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</row>
    <row r="105" ht="15.7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</row>
    <row r="106" ht="15.7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</row>
    <row r="107" ht="15.7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</row>
    <row r="108" ht="15.7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</row>
    <row r="109" ht="15.7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</row>
    <row r="110" ht="15.7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</row>
    <row r="111" ht="15.7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</row>
    <row r="112" ht="15.7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</row>
    <row r="113" ht="15.7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</row>
    <row r="114" ht="15.7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</row>
    <row r="115" ht="15.7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</row>
    <row r="116" ht="15.7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</row>
    <row r="117" ht="15.7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</row>
    <row r="118" ht="15.7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</row>
    <row r="119" ht="15.7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</row>
    <row r="120" ht="15.7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</row>
    <row r="121" ht="15.7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</row>
    <row r="122" ht="15.7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</row>
    <row r="123" ht="15.7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</row>
    <row r="124" ht="15.7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</row>
    <row r="125" ht="15.7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</row>
    <row r="126" ht="15.7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</row>
    <row r="127" ht="15.7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</row>
    <row r="128" ht="15.7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</row>
    <row r="129" ht="15.7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</row>
    <row r="130" ht="15.7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</row>
    <row r="131" ht="15.7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</row>
    <row r="132" ht="15.7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</row>
    <row r="133" ht="15.7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</row>
    <row r="134" ht="15.7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</row>
    <row r="135" ht="15.7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</row>
    <row r="136" ht="15.7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</row>
    <row r="137" ht="15.7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</row>
    <row r="138" ht="15.7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</row>
    <row r="139" ht="15.7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</row>
    <row r="140" ht="15.7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</row>
    <row r="141" ht="15.7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</row>
    <row r="142" ht="15.7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</row>
    <row r="143" ht="15.7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</row>
    <row r="144" ht="15.7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</row>
    <row r="145" ht="15.7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</row>
    <row r="146" ht="15.7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</row>
    <row r="147" ht="15.75" customHeight="1">
      <c r="A147" s="68"/>
      <c r="B147" s="68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</row>
    <row r="148" ht="15.75" customHeight="1">
      <c r="A148" s="112"/>
      <c r="B148" s="112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</row>
    <row r="149" ht="15.75" customHeight="1">
      <c r="A149" s="113"/>
      <c r="B149" s="113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</row>
    <row r="150" ht="15.75" customHeight="1">
      <c r="A150" s="113"/>
      <c r="B150" s="113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</row>
    <row r="151" ht="15.75" customHeight="1">
      <c r="A151" s="113"/>
      <c r="B151" s="113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</row>
    <row r="152" ht="15.75" customHeight="1">
      <c r="A152" s="113"/>
      <c r="B152" s="113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</row>
    <row r="153" ht="15.75" customHeight="1">
      <c r="A153" s="113"/>
      <c r="B153" s="113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</row>
    <row r="154" ht="15.75" customHeight="1">
      <c r="A154" s="113"/>
      <c r="B154" s="113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</row>
    <row r="155" ht="15.75" customHeight="1">
      <c r="A155" s="113"/>
      <c r="B155" s="113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</row>
    <row r="156" ht="15.75" customHeight="1">
      <c r="A156" s="113"/>
      <c r="B156" s="113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</row>
    <row r="157" ht="15.75" customHeight="1">
      <c r="A157" s="113"/>
      <c r="B157" s="113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</row>
    <row r="158" ht="15.75" customHeight="1">
      <c r="A158" s="68"/>
      <c r="B158" s="68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</row>
    <row r="159" ht="15.75" customHeight="1">
      <c r="A159" s="68"/>
      <c r="B159" s="68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</row>
    <row r="160" ht="15.75" customHeight="1">
      <c r="A160" s="68"/>
      <c r="B160" s="68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</row>
    <row r="161" ht="15.75" customHeight="1">
      <c r="A161" s="68"/>
      <c r="B161" s="68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</row>
    <row r="162" ht="15.75" customHeight="1">
      <c r="A162" s="68"/>
      <c r="B162" s="68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</row>
    <row r="163" ht="15.75" customHeight="1">
      <c r="A163" s="68"/>
      <c r="B163" s="68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</row>
    <row r="164" ht="15.7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</row>
    <row r="165" ht="15.7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</row>
    <row r="166" ht="15.7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</row>
    <row r="167" ht="15.7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</row>
    <row r="168" ht="15.7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</row>
    <row r="169" ht="15.7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</row>
    <row r="170" ht="15.7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</row>
    <row r="171" ht="15.7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</row>
    <row r="172" ht="15.7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</row>
    <row r="173" ht="15.7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</row>
    <row r="174" ht="15.7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</row>
    <row r="175" ht="15.7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</row>
    <row r="176" ht="15.7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</row>
    <row r="177" ht="15.7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</row>
    <row r="178" ht="15.7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</row>
    <row r="179" ht="15.7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</row>
    <row r="180" ht="15.7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</row>
    <row r="181" ht="15.7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</row>
    <row r="182" ht="15.7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</row>
    <row r="183" ht="15.7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</row>
    <row r="184" ht="15.7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</row>
    <row r="185" ht="15.7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</row>
    <row r="186" ht="15.7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</row>
    <row r="187" ht="15.7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</row>
    <row r="188" ht="15.7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</row>
    <row r="189" ht="15.7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</row>
    <row r="190" ht="15.7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</row>
    <row r="191" ht="15.7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</row>
    <row r="192" ht="15.7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</row>
    <row r="193" ht="15.7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</row>
    <row r="194" ht="15.7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</row>
    <row r="195" ht="15.7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</row>
    <row r="196" ht="15.7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</row>
    <row r="197" ht="15.7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</row>
    <row r="198" ht="15.7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</row>
    <row r="199" ht="15.7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</row>
    <row r="200" ht="15.7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2.88"/>
    <col customWidth="1" min="2" max="2" width="11.5"/>
    <col customWidth="1" min="3" max="3" width="12.25"/>
    <col customWidth="1" min="4" max="4" width="11.88"/>
    <col customWidth="1" min="5" max="5" width="12.13"/>
    <col customWidth="1" min="6" max="6" width="12.5"/>
  </cols>
  <sheetData>
    <row r="1" ht="27.75" customHeight="1">
      <c r="A1" s="114" t="s">
        <v>240</v>
      </c>
      <c r="B1" s="115" t="s">
        <v>241</v>
      </c>
      <c r="C1" s="115" t="s">
        <v>242</v>
      </c>
      <c r="D1" s="115" t="s">
        <v>243</v>
      </c>
      <c r="E1" s="115" t="s">
        <v>244</v>
      </c>
      <c r="F1" s="115" t="s">
        <v>245</v>
      </c>
      <c r="G1" s="115" t="s">
        <v>246</v>
      </c>
      <c r="H1" s="115" t="s">
        <v>247</v>
      </c>
      <c r="I1" s="115" t="s">
        <v>248</v>
      </c>
      <c r="J1" s="115" t="s">
        <v>249</v>
      </c>
      <c r="K1" s="115" t="s">
        <v>250</v>
      </c>
      <c r="L1" s="115" t="s">
        <v>251</v>
      </c>
      <c r="M1" s="115" t="s">
        <v>252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5.75" customHeight="1">
      <c r="A2" s="116" t="s">
        <v>253</v>
      </c>
      <c r="B2" s="117">
        <f t="shared" ref="B2:B7" si="1">(B67+B76+B85)*1.05</f>
        <v>261.24</v>
      </c>
      <c r="C2" s="117">
        <f t="shared" ref="C2:C5" si="2">B19*1.1</f>
        <v>52.8</v>
      </c>
      <c r="D2" s="117">
        <f t="shared" ref="D2:D6" si="3">B26*1.05</f>
        <v>167.79</v>
      </c>
      <c r="E2" s="117">
        <f t="shared" ref="E2:E5" si="4">(E19)*1.1</f>
        <v>33</v>
      </c>
      <c r="F2" s="117">
        <f t="shared" ref="F2:F6" si="5">H26*1.05</f>
        <v>141.246</v>
      </c>
      <c r="G2" s="117">
        <f t="shared" ref="G2:G5" si="6">(K19)*1.1</f>
        <v>24.2</v>
      </c>
      <c r="H2" s="117">
        <f t="shared" ref="H2:H6" si="7">B50*1.05</f>
        <v>90.3</v>
      </c>
      <c r="I2" s="117">
        <f t="shared" ref="I2:I5" si="8">(B58)*1.05</f>
        <v>111.3</v>
      </c>
      <c r="J2" s="117">
        <f t="shared" ref="J2:J6" si="9">F50*1.05</f>
        <v>107.1</v>
      </c>
      <c r="K2" s="117">
        <f t="shared" ref="K2:K6" si="10">F58*1.05</f>
        <v>132.3</v>
      </c>
      <c r="L2" s="117">
        <v>48.0</v>
      </c>
      <c r="M2" s="117">
        <v>48.0</v>
      </c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5.75" customHeight="1">
      <c r="A3" s="116" t="s">
        <v>158</v>
      </c>
      <c r="B3" s="117">
        <f t="shared" si="1"/>
        <v>159.6</v>
      </c>
      <c r="C3" s="117">
        <f t="shared" si="2"/>
        <v>26.4</v>
      </c>
      <c r="D3" s="117">
        <f t="shared" si="3"/>
        <v>115.71</v>
      </c>
      <c r="E3" s="117">
        <f t="shared" si="4"/>
        <v>22</v>
      </c>
      <c r="F3" s="117">
        <f t="shared" si="5"/>
        <v>91.224</v>
      </c>
      <c r="G3" s="117">
        <f t="shared" si="6"/>
        <v>16.5</v>
      </c>
      <c r="H3" s="117">
        <f t="shared" si="7"/>
        <v>54.6</v>
      </c>
      <c r="I3" s="117">
        <f t="shared" si="8"/>
        <v>71.4</v>
      </c>
      <c r="J3" s="117">
        <f t="shared" si="9"/>
        <v>71.4</v>
      </c>
      <c r="K3" s="117">
        <f t="shared" si="10"/>
        <v>88.2</v>
      </c>
      <c r="L3" s="117">
        <v>32.0</v>
      </c>
      <c r="M3" s="117">
        <v>40.0</v>
      </c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75" customHeight="1">
      <c r="A4" s="116" t="s">
        <v>141</v>
      </c>
      <c r="B4" s="117">
        <f t="shared" si="1"/>
        <v>97.44</v>
      </c>
      <c r="C4" s="117">
        <f t="shared" si="2"/>
        <v>16.5</v>
      </c>
      <c r="D4" s="117">
        <f t="shared" si="3"/>
        <v>74.76</v>
      </c>
      <c r="E4" s="117">
        <f t="shared" si="4"/>
        <v>12.1</v>
      </c>
      <c r="F4" s="117">
        <f t="shared" si="5"/>
        <v>53.256</v>
      </c>
      <c r="G4" s="117">
        <f t="shared" si="6"/>
        <v>12.1</v>
      </c>
      <c r="H4" s="117">
        <f t="shared" si="7"/>
        <v>33.6</v>
      </c>
      <c r="I4" s="117">
        <f t="shared" si="8"/>
        <v>42</v>
      </c>
      <c r="J4" s="117">
        <f t="shared" si="9"/>
        <v>44.1</v>
      </c>
      <c r="K4" s="117">
        <f t="shared" si="10"/>
        <v>54.6</v>
      </c>
      <c r="L4" s="117">
        <v>20.0</v>
      </c>
      <c r="M4" s="117">
        <v>32.0</v>
      </c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75" customHeight="1">
      <c r="A5" s="116" t="s">
        <v>98</v>
      </c>
      <c r="B5" s="117">
        <f t="shared" si="1"/>
        <v>61.74</v>
      </c>
      <c r="C5" s="117">
        <f t="shared" si="2"/>
        <v>8.8</v>
      </c>
      <c r="D5" s="117">
        <f t="shared" si="3"/>
        <v>40.95</v>
      </c>
      <c r="E5" s="117">
        <f t="shared" si="4"/>
        <v>4.4</v>
      </c>
      <c r="F5" s="117">
        <f t="shared" si="5"/>
        <v>30.324</v>
      </c>
      <c r="G5" s="117">
        <f t="shared" si="6"/>
        <v>4.4</v>
      </c>
      <c r="H5" s="117">
        <f t="shared" si="7"/>
        <v>18.9</v>
      </c>
      <c r="I5" s="117">
        <f t="shared" si="8"/>
        <v>23.1</v>
      </c>
      <c r="J5" s="117">
        <f t="shared" si="9"/>
        <v>25.2</v>
      </c>
      <c r="K5" s="117">
        <f t="shared" si="10"/>
        <v>29.4</v>
      </c>
      <c r="L5" s="117">
        <v>12.0</v>
      </c>
      <c r="M5" s="117">
        <v>24.0</v>
      </c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5.75" customHeight="1">
      <c r="A6" s="116" t="s">
        <v>98</v>
      </c>
      <c r="B6" s="117">
        <f t="shared" si="1"/>
        <v>35.7</v>
      </c>
      <c r="C6" s="117">
        <v>6.6</v>
      </c>
      <c r="D6" s="117">
        <f t="shared" si="3"/>
        <v>22.68</v>
      </c>
      <c r="E6" s="117">
        <v>3.3</v>
      </c>
      <c r="F6" s="117">
        <f t="shared" si="5"/>
        <v>16.212</v>
      </c>
      <c r="G6" s="117">
        <f>2*1.1</f>
        <v>2.2</v>
      </c>
      <c r="H6" s="117">
        <f t="shared" si="7"/>
        <v>10.5</v>
      </c>
      <c r="I6" s="117">
        <f>B62*1.05</f>
        <v>12.6</v>
      </c>
      <c r="J6" s="117">
        <f t="shared" si="9"/>
        <v>14.7</v>
      </c>
      <c r="K6" s="117">
        <f t="shared" si="10"/>
        <v>16.8</v>
      </c>
      <c r="L6" s="117">
        <v>8.0</v>
      </c>
      <c r="M6" s="117">
        <v>16.0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5.75" customHeight="1">
      <c r="A7" s="118" t="s">
        <v>30</v>
      </c>
      <c r="B7" s="119">
        <f t="shared" si="1"/>
        <v>17.115</v>
      </c>
      <c r="C7" s="119">
        <v>4.4</v>
      </c>
      <c r="D7" s="119">
        <f>18*1.05</f>
        <v>18.9</v>
      </c>
      <c r="E7" s="119">
        <v>2.2</v>
      </c>
      <c r="F7" s="119">
        <f>12*1.05</f>
        <v>12.6</v>
      </c>
      <c r="G7" s="119">
        <f>1*1.1</f>
        <v>1.1</v>
      </c>
      <c r="H7" s="119">
        <f t="shared" ref="H7:I7" si="11">8*1.05</f>
        <v>8.4</v>
      </c>
      <c r="I7" s="119">
        <f t="shared" si="11"/>
        <v>8.4</v>
      </c>
      <c r="J7" s="119">
        <f>10*1.05</f>
        <v>10.5</v>
      </c>
      <c r="K7" s="119">
        <f>12*1.05</f>
        <v>12.6</v>
      </c>
      <c r="L7" s="119">
        <v>6.0</v>
      </c>
      <c r="M7" s="119">
        <v>10.0</v>
      </c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5.75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5.75" customHeight="1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5.75" customHeight="1">
      <c r="A10" s="120" t="s">
        <v>254</v>
      </c>
      <c r="B10" s="120" t="s">
        <v>209</v>
      </c>
      <c r="C10" s="120" t="s">
        <v>255</v>
      </c>
      <c r="D10" s="120" t="s">
        <v>256</v>
      </c>
      <c r="E10" s="120" t="s">
        <v>257</v>
      </c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5.75" customHeight="1">
      <c r="A11" s="121" t="s">
        <v>32</v>
      </c>
      <c r="B11" s="122">
        <v>3.0</v>
      </c>
      <c r="C11" s="122">
        <v>4.0</v>
      </c>
      <c r="D11" s="122">
        <v>12.0</v>
      </c>
      <c r="E11" s="122">
        <v>13.0</v>
      </c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5.75" customHeight="1">
      <c r="A12" s="121" t="s">
        <v>258</v>
      </c>
      <c r="B12" s="122">
        <v>5.0</v>
      </c>
      <c r="C12" s="122">
        <v>6.0</v>
      </c>
      <c r="D12" s="122">
        <v>12.0</v>
      </c>
      <c r="E12" s="122">
        <v>13.0</v>
      </c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5.75" customHeight="1">
      <c r="A13" s="121" t="s">
        <v>259</v>
      </c>
      <c r="B13" s="122">
        <v>7.0</v>
      </c>
      <c r="C13" s="122">
        <v>8.0</v>
      </c>
      <c r="D13" s="122">
        <v>12.0</v>
      </c>
      <c r="E13" s="122">
        <v>13.0</v>
      </c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5.75" customHeight="1">
      <c r="A14" s="121" t="s">
        <v>260</v>
      </c>
      <c r="B14" s="122">
        <v>7.0</v>
      </c>
      <c r="C14" s="122">
        <v>9.0</v>
      </c>
      <c r="D14" s="122">
        <v>12.0</v>
      </c>
      <c r="E14" s="122">
        <v>13.0</v>
      </c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5.75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5.7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5.75" customHeight="1">
      <c r="A17" s="123" t="s">
        <v>261</v>
      </c>
      <c r="B17" s="124" t="s">
        <v>262</v>
      </c>
      <c r="C17" s="125"/>
      <c r="D17" s="126"/>
      <c r="E17" s="124" t="s">
        <v>263</v>
      </c>
      <c r="F17" s="125"/>
      <c r="G17" s="126"/>
      <c r="H17" s="124" t="s">
        <v>264</v>
      </c>
      <c r="I17" s="125"/>
      <c r="J17" s="126"/>
      <c r="K17" s="124" t="s">
        <v>265</v>
      </c>
      <c r="L17" s="125"/>
      <c r="M17" s="126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5.75" customHeight="1">
      <c r="A18" s="127"/>
      <c r="B18" s="128" t="s">
        <v>209</v>
      </c>
      <c r="C18" s="128" t="s">
        <v>266</v>
      </c>
      <c r="D18" s="128" t="s">
        <v>267</v>
      </c>
      <c r="E18" s="128" t="s">
        <v>209</v>
      </c>
      <c r="F18" s="128" t="s">
        <v>266</v>
      </c>
      <c r="G18" s="128" t="s">
        <v>267</v>
      </c>
      <c r="H18" s="128" t="s">
        <v>209</v>
      </c>
      <c r="I18" s="128" t="s">
        <v>266</v>
      </c>
      <c r="J18" s="128" t="s">
        <v>267</v>
      </c>
      <c r="K18" s="128" t="s">
        <v>209</v>
      </c>
      <c r="L18" s="128" t="s">
        <v>266</v>
      </c>
      <c r="M18" s="128" t="s">
        <v>267</v>
      </c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5.75" customHeight="1">
      <c r="A19" s="129" t="s">
        <v>253</v>
      </c>
      <c r="B19" s="130">
        <f t="shared" ref="B19:B22" si="12">SUM(C19:D19)</f>
        <v>48</v>
      </c>
      <c r="C19" s="131">
        <v>22.0</v>
      </c>
      <c r="D19" s="131">
        <v>26.0</v>
      </c>
      <c r="E19" s="131">
        <f t="shared" ref="E19:E22" si="13">SUM(F19:G19)</f>
        <v>30</v>
      </c>
      <c r="F19" s="131">
        <v>13.0</v>
      </c>
      <c r="G19" s="131">
        <v>17.0</v>
      </c>
      <c r="H19" s="131">
        <f t="shared" ref="H19:H22" si="14">SUM(I19:J19)</f>
        <v>18</v>
      </c>
      <c r="I19" s="131">
        <v>7.0</v>
      </c>
      <c r="J19" s="131">
        <v>11.0</v>
      </c>
      <c r="K19" s="131">
        <f t="shared" ref="K19:K22" si="15">SUM(L19:M19)</f>
        <v>22</v>
      </c>
      <c r="L19" s="131">
        <v>9.0</v>
      </c>
      <c r="M19" s="131">
        <v>13.0</v>
      </c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5.75" customHeight="1">
      <c r="A20" s="129" t="s">
        <v>158</v>
      </c>
      <c r="B20" s="130">
        <f t="shared" si="12"/>
        <v>24</v>
      </c>
      <c r="C20" s="131">
        <v>11.0</v>
      </c>
      <c r="D20" s="131">
        <v>13.0</v>
      </c>
      <c r="E20" s="131">
        <f t="shared" si="13"/>
        <v>20</v>
      </c>
      <c r="F20" s="131">
        <v>9.0</v>
      </c>
      <c r="G20" s="131">
        <v>11.0</v>
      </c>
      <c r="H20" s="131">
        <f t="shared" si="14"/>
        <v>11</v>
      </c>
      <c r="I20" s="131">
        <v>4.5</v>
      </c>
      <c r="J20" s="131">
        <v>6.5</v>
      </c>
      <c r="K20" s="131">
        <f t="shared" si="15"/>
        <v>15</v>
      </c>
      <c r="L20" s="131">
        <v>6.5</v>
      </c>
      <c r="M20" s="131">
        <v>8.5</v>
      </c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129" t="s">
        <v>141</v>
      </c>
      <c r="B21" s="132">
        <f t="shared" si="12"/>
        <v>15</v>
      </c>
      <c r="C21" s="117">
        <v>6.5</v>
      </c>
      <c r="D21" s="117">
        <v>8.5</v>
      </c>
      <c r="E21" s="131">
        <f t="shared" si="13"/>
        <v>11</v>
      </c>
      <c r="F21" s="131">
        <v>4.5</v>
      </c>
      <c r="G21" s="131">
        <v>6.5</v>
      </c>
      <c r="H21" s="131">
        <f t="shared" si="14"/>
        <v>6</v>
      </c>
      <c r="I21" s="131">
        <v>2.0</v>
      </c>
      <c r="J21" s="131">
        <v>4.0</v>
      </c>
      <c r="K21" s="131">
        <f t="shared" si="15"/>
        <v>11</v>
      </c>
      <c r="L21" s="131">
        <v>4.5</v>
      </c>
      <c r="M21" s="131">
        <v>6.5</v>
      </c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133" t="s">
        <v>98</v>
      </c>
      <c r="B22" s="134">
        <f t="shared" si="12"/>
        <v>8</v>
      </c>
      <c r="C22" s="128">
        <v>2.0</v>
      </c>
      <c r="D22" s="128">
        <v>6.0</v>
      </c>
      <c r="E22" s="128">
        <f t="shared" si="13"/>
        <v>4</v>
      </c>
      <c r="F22" s="128">
        <v>1.0</v>
      </c>
      <c r="G22" s="128">
        <v>3.0</v>
      </c>
      <c r="H22" s="128">
        <f t="shared" si="14"/>
        <v>3</v>
      </c>
      <c r="I22" s="128">
        <v>1.0</v>
      </c>
      <c r="J22" s="128">
        <v>2.0</v>
      </c>
      <c r="K22" s="128">
        <f t="shared" si="15"/>
        <v>4</v>
      </c>
      <c r="L22" s="128">
        <v>2.0</v>
      </c>
      <c r="M22" s="128">
        <v>2.0</v>
      </c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123" t="s">
        <v>268</v>
      </c>
      <c r="B24" s="124" t="s">
        <v>269</v>
      </c>
      <c r="C24" s="125"/>
      <c r="D24" s="125"/>
      <c r="E24" s="125"/>
      <c r="F24" s="125"/>
      <c r="G24" s="125"/>
      <c r="H24" s="124" t="s">
        <v>270</v>
      </c>
      <c r="I24" s="125"/>
      <c r="J24" s="125"/>
      <c r="K24" s="125"/>
      <c r="L24" s="125"/>
      <c r="M24" s="126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127"/>
      <c r="B25" s="122" t="s">
        <v>10</v>
      </c>
      <c r="C25" s="122" t="s">
        <v>271</v>
      </c>
      <c r="D25" s="122" t="s">
        <v>272</v>
      </c>
      <c r="E25" s="122" t="s">
        <v>273</v>
      </c>
      <c r="F25" s="122" t="s">
        <v>274</v>
      </c>
      <c r="G25" s="122" t="s">
        <v>275</v>
      </c>
      <c r="H25" s="122" t="s">
        <v>10</v>
      </c>
      <c r="I25" s="122" t="s">
        <v>271</v>
      </c>
      <c r="J25" s="122" t="s">
        <v>272</v>
      </c>
      <c r="K25" s="122" t="s">
        <v>273</v>
      </c>
      <c r="L25" s="122" t="s">
        <v>274</v>
      </c>
      <c r="M25" s="122" t="s">
        <v>275</v>
      </c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116" t="s">
        <v>253</v>
      </c>
      <c r="B26" s="117">
        <f t="shared" ref="B26:B30" si="16">SUM(C26:G26)</f>
        <v>159.8</v>
      </c>
      <c r="C26" s="131">
        <v>72.0</v>
      </c>
      <c r="D26" s="131">
        <v>24.0</v>
      </c>
      <c r="E26" s="131">
        <v>30.0</v>
      </c>
      <c r="F26" s="135">
        <v>22.0</v>
      </c>
      <c r="G26" s="117">
        <f t="shared" ref="G26:G30" si="17">SUM(C26,D26,F26)*10%</f>
        <v>11.8</v>
      </c>
      <c r="H26" s="117">
        <f t="shared" ref="H26:H30" si="18">SUM(I26:M26)</f>
        <v>134.52</v>
      </c>
      <c r="I26" s="131">
        <v>48.0</v>
      </c>
      <c r="J26" s="131">
        <v>26.0</v>
      </c>
      <c r="K26" s="131">
        <v>32.0</v>
      </c>
      <c r="L26" s="117">
        <f t="shared" ref="L26:L30" si="19">I26*0.4</f>
        <v>19.2</v>
      </c>
      <c r="M26" s="117">
        <f t="shared" ref="M26:M30" si="20">SUM(I26,J26,L26)*10%</f>
        <v>9.32</v>
      </c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116" t="s">
        <v>158</v>
      </c>
      <c r="B27" s="117">
        <f t="shared" si="16"/>
        <v>110.2</v>
      </c>
      <c r="C27" s="131">
        <v>48.0</v>
      </c>
      <c r="D27" s="131">
        <v>16.0</v>
      </c>
      <c r="E27" s="131">
        <v>20.0</v>
      </c>
      <c r="F27" s="135">
        <v>18.0</v>
      </c>
      <c r="G27" s="117">
        <f t="shared" si="17"/>
        <v>8.2</v>
      </c>
      <c r="H27" s="117">
        <f t="shared" si="18"/>
        <v>86.88</v>
      </c>
      <c r="I27" s="131">
        <v>32.0</v>
      </c>
      <c r="J27" s="131">
        <v>16.0</v>
      </c>
      <c r="K27" s="131">
        <v>20.0</v>
      </c>
      <c r="L27" s="117">
        <f t="shared" si="19"/>
        <v>12.8</v>
      </c>
      <c r="M27" s="117">
        <f t="shared" si="20"/>
        <v>6.08</v>
      </c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116" t="s">
        <v>141</v>
      </c>
      <c r="B28" s="117">
        <f t="shared" si="16"/>
        <v>71.2</v>
      </c>
      <c r="C28" s="131">
        <v>28.0</v>
      </c>
      <c r="D28" s="131">
        <v>10.0</v>
      </c>
      <c r="E28" s="131">
        <v>14.0</v>
      </c>
      <c r="F28" s="135">
        <v>14.0</v>
      </c>
      <c r="G28" s="117">
        <f t="shared" si="17"/>
        <v>5.2</v>
      </c>
      <c r="H28" s="117">
        <f t="shared" si="18"/>
        <v>50.72</v>
      </c>
      <c r="I28" s="131">
        <v>18.0</v>
      </c>
      <c r="J28" s="131">
        <v>10.0</v>
      </c>
      <c r="K28" s="131">
        <v>12.0</v>
      </c>
      <c r="L28" s="117">
        <f t="shared" si="19"/>
        <v>7.2</v>
      </c>
      <c r="M28" s="117">
        <f t="shared" si="20"/>
        <v>3.52</v>
      </c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116" t="s">
        <v>98</v>
      </c>
      <c r="B29" s="117">
        <f t="shared" si="16"/>
        <v>39</v>
      </c>
      <c r="C29" s="131">
        <v>18.0</v>
      </c>
      <c r="D29" s="131">
        <v>4.0</v>
      </c>
      <c r="E29" s="131">
        <v>6.0</v>
      </c>
      <c r="F29" s="135">
        <v>8.0</v>
      </c>
      <c r="G29" s="117">
        <f t="shared" si="17"/>
        <v>3</v>
      </c>
      <c r="H29" s="117">
        <f t="shared" si="18"/>
        <v>28.88</v>
      </c>
      <c r="I29" s="131">
        <v>12.0</v>
      </c>
      <c r="J29" s="131">
        <v>4.0</v>
      </c>
      <c r="K29" s="131">
        <v>6.0</v>
      </c>
      <c r="L29" s="117">
        <f t="shared" si="19"/>
        <v>4.8</v>
      </c>
      <c r="M29" s="117">
        <f t="shared" si="20"/>
        <v>2.08</v>
      </c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118" t="s">
        <v>98</v>
      </c>
      <c r="B30" s="119">
        <f t="shared" si="16"/>
        <v>21.6</v>
      </c>
      <c r="C30" s="128">
        <v>10.0</v>
      </c>
      <c r="D30" s="128">
        <v>2.0</v>
      </c>
      <c r="E30" s="128">
        <v>4.0</v>
      </c>
      <c r="F30" s="136">
        <v>4.0</v>
      </c>
      <c r="G30" s="119">
        <f t="shared" si="17"/>
        <v>1.6</v>
      </c>
      <c r="H30" s="119">
        <f t="shared" si="18"/>
        <v>15.44</v>
      </c>
      <c r="I30" s="128">
        <v>6.0</v>
      </c>
      <c r="J30" s="128">
        <v>2.0</v>
      </c>
      <c r="K30" s="128">
        <v>4.0</v>
      </c>
      <c r="L30" s="119">
        <f t="shared" si="19"/>
        <v>2.4</v>
      </c>
      <c r="M30" s="119">
        <f t="shared" si="20"/>
        <v>1.04</v>
      </c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137" t="s">
        <v>276</v>
      </c>
      <c r="B32" s="138"/>
      <c r="C32" s="125"/>
      <c r="D32" s="125"/>
      <c r="E32" s="126"/>
      <c r="F32" s="39"/>
      <c r="G32" s="137" t="s">
        <v>277</v>
      </c>
      <c r="H32" s="139"/>
      <c r="I32" s="1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127"/>
      <c r="B33" s="122" t="s">
        <v>210</v>
      </c>
      <c r="C33" s="122" t="s">
        <v>278</v>
      </c>
      <c r="D33" s="122" t="s">
        <v>279</v>
      </c>
      <c r="E33" s="122" t="s">
        <v>272</v>
      </c>
      <c r="F33" s="39"/>
      <c r="G33" s="127"/>
      <c r="H33" s="140" t="s">
        <v>280</v>
      </c>
      <c r="I33" s="140" t="s">
        <v>281</v>
      </c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116" t="s">
        <v>253</v>
      </c>
      <c r="B34" s="131">
        <f t="shared" ref="B34:B37" si="21">C34+D34+E34</f>
        <v>68</v>
      </c>
      <c r="C34" s="131">
        <v>40.0</v>
      </c>
      <c r="D34" s="131">
        <v>20.0</v>
      </c>
      <c r="E34" s="131">
        <v>8.0</v>
      </c>
      <c r="F34" s="39"/>
      <c r="G34" s="116" t="s">
        <v>253</v>
      </c>
      <c r="H34" s="135">
        <v>24.0</v>
      </c>
      <c r="I34" s="135">
        <v>16.0</v>
      </c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116" t="s">
        <v>158</v>
      </c>
      <c r="B35" s="131">
        <f t="shared" si="21"/>
        <v>40</v>
      </c>
      <c r="C35" s="131">
        <v>22.0</v>
      </c>
      <c r="D35" s="131">
        <v>12.0</v>
      </c>
      <c r="E35" s="131">
        <v>6.0</v>
      </c>
      <c r="F35" s="39"/>
      <c r="G35" s="116" t="s">
        <v>158</v>
      </c>
      <c r="H35" s="135">
        <v>16.0</v>
      </c>
      <c r="I35" s="135">
        <v>12.0</v>
      </c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116" t="s">
        <v>141</v>
      </c>
      <c r="B36" s="131">
        <f t="shared" si="21"/>
        <v>24</v>
      </c>
      <c r="C36" s="131">
        <v>12.0</v>
      </c>
      <c r="D36" s="131">
        <v>8.0</v>
      </c>
      <c r="E36" s="131">
        <v>4.0</v>
      </c>
      <c r="F36" s="39"/>
      <c r="G36" s="116" t="s">
        <v>141</v>
      </c>
      <c r="H36" s="135">
        <v>12.0</v>
      </c>
      <c r="I36" s="135">
        <v>8.0</v>
      </c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116" t="s">
        <v>98</v>
      </c>
      <c r="B37" s="131">
        <f t="shared" si="21"/>
        <v>16</v>
      </c>
      <c r="C37" s="131">
        <v>8.0</v>
      </c>
      <c r="D37" s="131">
        <v>6.0</v>
      </c>
      <c r="E37" s="131">
        <v>2.0</v>
      </c>
      <c r="F37" s="39"/>
      <c r="G37" s="116" t="s">
        <v>98</v>
      </c>
      <c r="H37" s="135">
        <v>8.0</v>
      </c>
      <c r="I37" s="135">
        <v>4.0</v>
      </c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118" t="s">
        <v>98</v>
      </c>
      <c r="B38" s="128">
        <f>SUM(C38:E38)</f>
        <v>8</v>
      </c>
      <c r="C38" s="128">
        <v>4.0</v>
      </c>
      <c r="D38" s="128">
        <v>2.0</v>
      </c>
      <c r="E38" s="128">
        <v>2.0</v>
      </c>
      <c r="F38" s="39"/>
      <c r="G38" s="118" t="s">
        <v>98</v>
      </c>
      <c r="H38" s="136">
        <v>4.0</v>
      </c>
      <c r="I38" s="136">
        <v>2.0</v>
      </c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137" t="s">
        <v>282</v>
      </c>
      <c r="B40" s="121"/>
      <c r="C40" s="39"/>
      <c r="D40" s="39"/>
      <c r="E40" s="39"/>
      <c r="F40" s="39"/>
      <c r="G40" s="137" t="s">
        <v>283</v>
      </c>
      <c r="H40" s="121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127"/>
      <c r="B41" s="122" t="s">
        <v>210</v>
      </c>
      <c r="C41" s="39"/>
      <c r="D41" s="39"/>
      <c r="E41" s="39"/>
      <c r="F41" s="39"/>
      <c r="G41" s="127"/>
      <c r="H41" s="122" t="s">
        <v>284</v>
      </c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116" t="s">
        <v>253</v>
      </c>
      <c r="B42" s="131">
        <v>32.0</v>
      </c>
      <c r="C42" s="39"/>
      <c r="D42" s="39"/>
      <c r="E42" s="39"/>
      <c r="F42" s="39"/>
      <c r="G42" s="116" t="s">
        <v>253</v>
      </c>
      <c r="H42" s="141">
        <v>0.2</v>
      </c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116" t="s">
        <v>158</v>
      </c>
      <c r="B43" s="131">
        <v>20.0</v>
      </c>
      <c r="C43" s="39"/>
      <c r="D43" s="39"/>
      <c r="E43" s="39"/>
      <c r="F43" s="39"/>
      <c r="G43" s="116" t="s">
        <v>158</v>
      </c>
      <c r="H43" s="141">
        <v>0.15</v>
      </c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116" t="s">
        <v>141</v>
      </c>
      <c r="B44" s="131">
        <v>12.0</v>
      </c>
      <c r="C44" s="39"/>
      <c r="D44" s="39"/>
      <c r="E44" s="39"/>
      <c r="F44" s="39"/>
      <c r="G44" s="116" t="s">
        <v>141</v>
      </c>
      <c r="H44" s="141">
        <v>0.1</v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116" t="s">
        <v>98</v>
      </c>
      <c r="B45" s="131">
        <v>8.0</v>
      </c>
      <c r="C45" s="39"/>
      <c r="D45" s="39"/>
      <c r="E45" s="39"/>
      <c r="F45" s="39"/>
      <c r="G45" s="116" t="s">
        <v>98</v>
      </c>
      <c r="H45" s="141">
        <v>0.08</v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118" t="s">
        <v>98</v>
      </c>
      <c r="B46" s="128">
        <v>4.0</v>
      </c>
      <c r="C46" s="39"/>
      <c r="D46" s="39"/>
      <c r="E46" s="39"/>
      <c r="F46" s="39"/>
      <c r="G46" s="118" t="s">
        <v>98</v>
      </c>
      <c r="H46" s="142">
        <v>0.05</v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143"/>
      <c r="B47" s="143"/>
      <c r="C47" s="143"/>
      <c r="D47" s="143"/>
      <c r="E47" s="143"/>
      <c r="F47" s="143"/>
      <c r="G47" s="143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137" t="s">
        <v>285</v>
      </c>
      <c r="B48" s="144" t="s">
        <v>286</v>
      </c>
      <c r="C48" s="125"/>
      <c r="D48" s="125"/>
      <c r="E48" s="126"/>
      <c r="F48" s="144" t="s">
        <v>287</v>
      </c>
      <c r="G48" s="125"/>
      <c r="H48" s="125"/>
      <c r="I48" s="126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127"/>
      <c r="B49" s="136" t="s">
        <v>210</v>
      </c>
      <c r="C49" s="136" t="s">
        <v>271</v>
      </c>
      <c r="D49" s="136" t="s">
        <v>272</v>
      </c>
      <c r="E49" s="136" t="s">
        <v>273</v>
      </c>
      <c r="F49" s="136" t="s">
        <v>210</v>
      </c>
      <c r="G49" s="136" t="s">
        <v>271</v>
      </c>
      <c r="H49" s="136" t="s">
        <v>272</v>
      </c>
      <c r="I49" s="136" t="s">
        <v>273</v>
      </c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116" t="s">
        <v>253</v>
      </c>
      <c r="B50" s="131">
        <f t="shared" ref="B50:B54" si="22">SUM(C50:E50)</f>
        <v>86</v>
      </c>
      <c r="C50" s="135">
        <v>36.0</v>
      </c>
      <c r="D50" s="135">
        <v>26.0</v>
      </c>
      <c r="E50" s="135">
        <v>24.0</v>
      </c>
      <c r="F50" s="131">
        <f t="shared" ref="F50:F54" si="23">SUM(G50:I50)</f>
        <v>102</v>
      </c>
      <c r="G50" s="135">
        <v>54.0</v>
      </c>
      <c r="H50" s="135">
        <v>24.0</v>
      </c>
      <c r="I50" s="135">
        <v>24.0</v>
      </c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116" t="s">
        <v>158</v>
      </c>
      <c r="B51" s="131">
        <f t="shared" si="22"/>
        <v>52</v>
      </c>
      <c r="C51" s="135">
        <v>20.0</v>
      </c>
      <c r="D51" s="135">
        <v>16.0</v>
      </c>
      <c r="E51" s="135">
        <v>16.0</v>
      </c>
      <c r="F51" s="131">
        <f t="shared" si="23"/>
        <v>68</v>
      </c>
      <c r="G51" s="135">
        <v>36.0</v>
      </c>
      <c r="H51" s="135">
        <v>16.0</v>
      </c>
      <c r="I51" s="135">
        <v>16.0</v>
      </c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116" t="s">
        <v>141</v>
      </c>
      <c r="B52" s="131">
        <f t="shared" si="22"/>
        <v>32</v>
      </c>
      <c r="C52" s="135">
        <v>14.0</v>
      </c>
      <c r="D52" s="135">
        <v>10.0</v>
      </c>
      <c r="E52" s="135">
        <v>8.0</v>
      </c>
      <c r="F52" s="131">
        <f t="shared" si="23"/>
        <v>42</v>
      </c>
      <c r="G52" s="135">
        <v>20.0</v>
      </c>
      <c r="H52" s="135">
        <v>10.0</v>
      </c>
      <c r="I52" s="135">
        <v>12.0</v>
      </c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116" t="s">
        <v>98</v>
      </c>
      <c r="B53" s="131">
        <f t="shared" si="22"/>
        <v>18</v>
      </c>
      <c r="C53" s="135">
        <v>10.0</v>
      </c>
      <c r="D53" s="135">
        <v>4.0</v>
      </c>
      <c r="E53" s="135">
        <v>4.0</v>
      </c>
      <c r="F53" s="131">
        <f t="shared" si="23"/>
        <v>24</v>
      </c>
      <c r="G53" s="135">
        <v>16.0</v>
      </c>
      <c r="H53" s="135">
        <v>4.0</v>
      </c>
      <c r="I53" s="135">
        <v>4.0</v>
      </c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118" t="s">
        <v>98</v>
      </c>
      <c r="B54" s="128">
        <f t="shared" si="22"/>
        <v>10</v>
      </c>
      <c r="C54" s="136">
        <v>4.0</v>
      </c>
      <c r="D54" s="136">
        <v>2.0</v>
      </c>
      <c r="E54" s="136">
        <v>4.0</v>
      </c>
      <c r="F54" s="128">
        <f t="shared" si="23"/>
        <v>14</v>
      </c>
      <c r="G54" s="136">
        <v>8.0</v>
      </c>
      <c r="H54" s="136">
        <v>2.0</v>
      </c>
      <c r="I54" s="136">
        <v>4.0</v>
      </c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143"/>
      <c r="B55" s="143"/>
      <c r="C55" s="143"/>
      <c r="D55" s="143"/>
      <c r="E55" s="143"/>
      <c r="F55" s="143"/>
      <c r="G55" s="143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137" t="s">
        <v>288</v>
      </c>
      <c r="B56" s="144" t="s">
        <v>286</v>
      </c>
      <c r="C56" s="125"/>
      <c r="D56" s="125"/>
      <c r="E56" s="126"/>
      <c r="F56" s="144" t="s">
        <v>287</v>
      </c>
      <c r="G56" s="125"/>
      <c r="H56" s="125"/>
      <c r="I56" s="126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127"/>
      <c r="B57" s="136" t="s">
        <v>210</v>
      </c>
      <c r="C57" s="136" t="s">
        <v>271</v>
      </c>
      <c r="D57" s="136" t="s">
        <v>272</v>
      </c>
      <c r="E57" s="136" t="s">
        <v>273</v>
      </c>
      <c r="F57" s="136" t="s">
        <v>210</v>
      </c>
      <c r="G57" s="136" t="s">
        <v>271</v>
      </c>
      <c r="H57" s="136" t="s">
        <v>272</v>
      </c>
      <c r="I57" s="136" t="s">
        <v>273</v>
      </c>
      <c r="J57" s="39"/>
      <c r="K57" s="90">
        <f>SUM(L83:L92) * B108</f>
        <v>0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116" t="s">
        <v>253</v>
      </c>
      <c r="B58" s="131">
        <f t="shared" ref="B58:B62" si="24">SUM(C58:E58)</f>
        <v>106</v>
      </c>
      <c r="C58" s="131">
        <v>48.0</v>
      </c>
      <c r="D58" s="131">
        <v>26.0</v>
      </c>
      <c r="E58" s="131">
        <v>32.0</v>
      </c>
      <c r="F58" s="131">
        <f t="shared" ref="F58:F62" si="25">SUM(G58:I58)</f>
        <v>126</v>
      </c>
      <c r="G58" s="131">
        <v>72.0</v>
      </c>
      <c r="H58" s="131">
        <v>24.0</v>
      </c>
      <c r="I58" s="131">
        <v>30.0</v>
      </c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116" t="s">
        <v>158</v>
      </c>
      <c r="B59" s="131">
        <f t="shared" si="24"/>
        <v>68</v>
      </c>
      <c r="C59" s="131">
        <v>32.0</v>
      </c>
      <c r="D59" s="131">
        <v>16.0</v>
      </c>
      <c r="E59" s="131">
        <v>20.0</v>
      </c>
      <c r="F59" s="131">
        <f t="shared" si="25"/>
        <v>84</v>
      </c>
      <c r="G59" s="131">
        <v>48.0</v>
      </c>
      <c r="H59" s="131">
        <v>16.0</v>
      </c>
      <c r="I59" s="131">
        <v>20.0</v>
      </c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116" t="s">
        <v>141</v>
      </c>
      <c r="B60" s="131">
        <f t="shared" si="24"/>
        <v>40</v>
      </c>
      <c r="C60" s="131">
        <v>18.0</v>
      </c>
      <c r="D60" s="131">
        <v>10.0</v>
      </c>
      <c r="E60" s="131">
        <v>12.0</v>
      </c>
      <c r="F60" s="131">
        <f t="shared" si="25"/>
        <v>52</v>
      </c>
      <c r="G60" s="131">
        <v>28.0</v>
      </c>
      <c r="H60" s="131">
        <v>10.0</v>
      </c>
      <c r="I60" s="131">
        <v>14.0</v>
      </c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116" t="s">
        <v>98</v>
      </c>
      <c r="B61" s="131">
        <f t="shared" si="24"/>
        <v>22</v>
      </c>
      <c r="C61" s="131">
        <v>12.0</v>
      </c>
      <c r="D61" s="131">
        <v>4.0</v>
      </c>
      <c r="E61" s="131">
        <v>6.0</v>
      </c>
      <c r="F61" s="131">
        <f t="shared" si="25"/>
        <v>28</v>
      </c>
      <c r="G61" s="131">
        <v>18.0</v>
      </c>
      <c r="H61" s="131">
        <v>4.0</v>
      </c>
      <c r="I61" s="131">
        <v>6.0</v>
      </c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145" t="s">
        <v>98</v>
      </c>
      <c r="B62" s="128">
        <f t="shared" si="24"/>
        <v>12</v>
      </c>
      <c r="C62" s="128">
        <v>6.0</v>
      </c>
      <c r="D62" s="128">
        <v>2.0</v>
      </c>
      <c r="E62" s="128">
        <v>4.0</v>
      </c>
      <c r="F62" s="128">
        <f t="shared" si="25"/>
        <v>16</v>
      </c>
      <c r="G62" s="128">
        <v>10.0</v>
      </c>
      <c r="H62" s="128">
        <v>2.0</v>
      </c>
      <c r="I62" s="128">
        <v>4.0</v>
      </c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39"/>
      <c r="B65" s="143"/>
      <c r="C65" s="146"/>
      <c r="D65" s="146"/>
      <c r="E65" s="146"/>
      <c r="F65" s="146"/>
      <c r="G65" s="147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148" t="s">
        <v>289</v>
      </c>
      <c r="B66" s="136" t="s">
        <v>183</v>
      </c>
      <c r="C66" s="136" t="s">
        <v>278</v>
      </c>
      <c r="D66" s="136" t="s">
        <v>279</v>
      </c>
      <c r="E66" s="136" t="s">
        <v>272</v>
      </c>
      <c r="F66" s="136" t="s">
        <v>274</v>
      </c>
      <c r="G66" s="136" t="s">
        <v>275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116" t="s">
        <v>253</v>
      </c>
      <c r="B67" s="149">
        <f t="shared" ref="B67:B72" si="26">C67+D67+E67+F67+G67</f>
        <v>90.4</v>
      </c>
      <c r="C67" s="135">
        <v>40.0</v>
      </c>
      <c r="D67" s="135">
        <v>20.0</v>
      </c>
      <c r="E67" s="135">
        <v>8.0</v>
      </c>
      <c r="F67" s="135">
        <v>16.0</v>
      </c>
      <c r="G67" s="149">
        <f t="shared" ref="G67:G72" si="27">10%*SUM(C67,E67,F67)</f>
        <v>6.4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116" t="s">
        <v>158</v>
      </c>
      <c r="B68" s="149">
        <f t="shared" si="26"/>
        <v>56</v>
      </c>
      <c r="C68" s="135">
        <v>22.0</v>
      </c>
      <c r="D68" s="135">
        <v>12.0</v>
      </c>
      <c r="E68" s="135">
        <v>6.0</v>
      </c>
      <c r="F68" s="135">
        <v>12.0</v>
      </c>
      <c r="G68" s="149">
        <f t="shared" si="27"/>
        <v>4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116" t="s">
        <v>141</v>
      </c>
      <c r="B69" s="149">
        <f t="shared" si="26"/>
        <v>34.4</v>
      </c>
      <c r="C69" s="135">
        <v>12.0</v>
      </c>
      <c r="D69" s="135">
        <v>8.0</v>
      </c>
      <c r="E69" s="135">
        <v>4.0</v>
      </c>
      <c r="F69" s="135">
        <v>8.0</v>
      </c>
      <c r="G69" s="149">
        <f t="shared" si="27"/>
        <v>2.4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116" t="s">
        <v>98</v>
      </c>
      <c r="B70" s="149">
        <f t="shared" si="26"/>
        <v>21.4</v>
      </c>
      <c r="C70" s="135">
        <v>8.0</v>
      </c>
      <c r="D70" s="135">
        <v>6.0</v>
      </c>
      <c r="E70" s="135">
        <v>2.0</v>
      </c>
      <c r="F70" s="135">
        <v>4.0</v>
      </c>
      <c r="G70" s="149">
        <f t="shared" si="27"/>
        <v>1.4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118" t="s">
        <v>98</v>
      </c>
      <c r="B71" s="150">
        <f t="shared" si="26"/>
        <v>13</v>
      </c>
      <c r="C71" s="136">
        <v>4.0</v>
      </c>
      <c r="D71" s="136">
        <v>2.0</v>
      </c>
      <c r="E71" s="136">
        <v>2.0</v>
      </c>
      <c r="F71" s="136">
        <v>4.0</v>
      </c>
      <c r="G71" s="150">
        <f t="shared" si="27"/>
        <v>1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118" t="s">
        <v>30</v>
      </c>
      <c r="B72" s="150">
        <f t="shared" si="26"/>
        <v>6.5</v>
      </c>
      <c r="C72" s="136">
        <v>2.0</v>
      </c>
      <c r="D72" s="136">
        <v>1.0</v>
      </c>
      <c r="E72" s="136">
        <v>1.0</v>
      </c>
      <c r="F72" s="136">
        <v>2.0</v>
      </c>
      <c r="G72" s="150">
        <f t="shared" si="27"/>
        <v>0.5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143"/>
      <c r="B73" s="143"/>
      <c r="C73" s="143"/>
      <c r="D73" s="143"/>
      <c r="E73" s="143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151" t="s">
        <v>290</v>
      </c>
      <c r="B74" s="143"/>
      <c r="C74" s="146"/>
      <c r="D74" s="146"/>
      <c r="E74" s="147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127"/>
      <c r="B75" s="136" t="s">
        <v>183</v>
      </c>
      <c r="C75" s="136" t="s">
        <v>278</v>
      </c>
      <c r="D75" s="136" t="s">
        <v>279</v>
      </c>
      <c r="E75" s="136" t="s">
        <v>272</v>
      </c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116" t="s">
        <v>253</v>
      </c>
      <c r="B76" s="135">
        <f t="shared" ref="B76:B79" si="28">C76+D76+E76</f>
        <v>68</v>
      </c>
      <c r="C76" s="135">
        <v>40.0</v>
      </c>
      <c r="D76" s="135">
        <v>20.0</v>
      </c>
      <c r="E76" s="135">
        <v>8.0</v>
      </c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116" t="s">
        <v>158</v>
      </c>
      <c r="B77" s="135">
        <f t="shared" si="28"/>
        <v>40</v>
      </c>
      <c r="C77" s="135">
        <v>22.0</v>
      </c>
      <c r="D77" s="135">
        <v>12.0</v>
      </c>
      <c r="E77" s="135">
        <v>6.0</v>
      </c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116" t="s">
        <v>141</v>
      </c>
      <c r="B78" s="135">
        <f t="shared" si="28"/>
        <v>24</v>
      </c>
      <c r="C78" s="135">
        <v>12.0</v>
      </c>
      <c r="D78" s="135">
        <v>8.0</v>
      </c>
      <c r="E78" s="135">
        <v>4.0</v>
      </c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116" t="s">
        <v>98</v>
      </c>
      <c r="B79" s="135">
        <f t="shared" si="28"/>
        <v>16</v>
      </c>
      <c r="C79" s="135">
        <v>8.0</v>
      </c>
      <c r="D79" s="135">
        <v>6.0</v>
      </c>
      <c r="E79" s="135">
        <v>2.0</v>
      </c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118" t="s">
        <v>98</v>
      </c>
      <c r="B80" s="136">
        <f t="shared" ref="B80:B81" si="29">SUM(C80:E80)</f>
        <v>8</v>
      </c>
      <c r="C80" s="136">
        <v>4.0</v>
      </c>
      <c r="D80" s="136">
        <v>2.0</v>
      </c>
      <c r="E80" s="136">
        <v>2.0</v>
      </c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118" t="s">
        <v>30</v>
      </c>
      <c r="B81" s="136">
        <f t="shared" si="29"/>
        <v>4</v>
      </c>
      <c r="C81" s="136">
        <v>2.0</v>
      </c>
      <c r="D81" s="136">
        <v>1.0</v>
      </c>
      <c r="E81" s="136">
        <v>1.0</v>
      </c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143"/>
      <c r="B82" s="143"/>
      <c r="C82" s="143"/>
      <c r="D82" s="143"/>
      <c r="E82" s="143"/>
      <c r="F82" s="143"/>
      <c r="G82" s="143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151" t="s">
        <v>291</v>
      </c>
      <c r="B83" s="143"/>
      <c r="C83" s="146"/>
      <c r="D83" s="146"/>
      <c r="E83" s="146"/>
      <c r="F83" s="146"/>
      <c r="G83" s="147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127"/>
      <c r="B84" s="136" t="s">
        <v>183</v>
      </c>
      <c r="C84" s="136" t="s">
        <v>278</v>
      </c>
      <c r="D84" s="136" t="s">
        <v>279</v>
      </c>
      <c r="E84" s="136" t="s">
        <v>272</v>
      </c>
      <c r="F84" s="136" t="s">
        <v>274</v>
      </c>
      <c r="G84" s="136" t="s">
        <v>275</v>
      </c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116" t="s">
        <v>253</v>
      </c>
      <c r="B85" s="149">
        <f t="shared" ref="B85:B90" si="30">C85+D85+E85+F85+G85</f>
        <v>90.4</v>
      </c>
      <c r="C85" s="135">
        <v>40.0</v>
      </c>
      <c r="D85" s="135">
        <v>20.0</v>
      </c>
      <c r="E85" s="135">
        <v>8.0</v>
      </c>
      <c r="F85" s="135">
        <v>16.0</v>
      </c>
      <c r="G85" s="149">
        <f t="shared" ref="G85:G89" si="31">10%*SUM(C85,E85,F85)</f>
        <v>6.4</v>
      </c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116" t="s">
        <v>158</v>
      </c>
      <c r="B86" s="149">
        <f t="shared" si="30"/>
        <v>56</v>
      </c>
      <c r="C86" s="135">
        <v>22.0</v>
      </c>
      <c r="D86" s="135">
        <v>12.0</v>
      </c>
      <c r="E86" s="135">
        <v>6.0</v>
      </c>
      <c r="F86" s="135">
        <v>12.0</v>
      </c>
      <c r="G86" s="149">
        <f t="shared" si="31"/>
        <v>4</v>
      </c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116" t="s">
        <v>141</v>
      </c>
      <c r="B87" s="149">
        <f t="shared" si="30"/>
        <v>34.4</v>
      </c>
      <c r="C87" s="135">
        <v>12.0</v>
      </c>
      <c r="D87" s="135">
        <v>8.0</v>
      </c>
      <c r="E87" s="135">
        <v>4.0</v>
      </c>
      <c r="F87" s="135">
        <v>8.0</v>
      </c>
      <c r="G87" s="149">
        <f t="shared" si="31"/>
        <v>2.4</v>
      </c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116" t="s">
        <v>98</v>
      </c>
      <c r="B88" s="149">
        <f t="shared" si="30"/>
        <v>21.4</v>
      </c>
      <c r="C88" s="135">
        <v>8.0</v>
      </c>
      <c r="D88" s="135">
        <v>6.0</v>
      </c>
      <c r="E88" s="135">
        <v>2.0</v>
      </c>
      <c r="F88" s="135">
        <v>4.0</v>
      </c>
      <c r="G88" s="149">
        <f t="shared" si="31"/>
        <v>1.4</v>
      </c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118" t="s">
        <v>98</v>
      </c>
      <c r="B89" s="150">
        <f t="shared" si="30"/>
        <v>13</v>
      </c>
      <c r="C89" s="136">
        <v>4.0</v>
      </c>
      <c r="D89" s="136">
        <v>2.0</v>
      </c>
      <c r="E89" s="136">
        <v>2.0</v>
      </c>
      <c r="F89" s="136">
        <v>4.0</v>
      </c>
      <c r="G89" s="150">
        <f t="shared" si="31"/>
        <v>1</v>
      </c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118" t="s">
        <v>30</v>
      </c>
      <c r="B90" s="150">
        <f t="shared" si="30"/>
        <v>5.8</v>
      </c>
      <c r="C90" s="136">
        <v>2.0</v>
      </c>
      <c r="D90" s="136">
        <v>1.0</v>
      </c>
      <c r="E90" s="136">
        <v>1.0</v>
      </c>
      <c r="F90" s="136">
        <v>1.0</v>
      </c>
      <c r="G90" s="150">
        <f>20%*SUM(C90,E90,F90)</f>
        <v>0.8</v>
      </c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137" t="s">
        <v>292</v>
      </c>
      <c r="B92" s="121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127"/>
      <c r="B93" s="121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121" t="s">
        <v>293</v>
      </c>
      <c r="B94" s="152">
        <v>0.08</v>
      </c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121" t="s">
        <v>294</v>
      </c>
      <c r="B95" s="122">
        <v>4.0</v>
      </c>
      <c r="C95" s="39" t="s">
        <v>295</v>
      </c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121" t="s">
        <v>296</v>
      </c>
      <c r="B96" s="152">
        <v>0.1</v>
      </c>
      <c r="C96" s="39" t="s">
        <v>297</v>
      </c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121" t="s">
        <v>298</v>
      </c>
      <c r="B97" s="152">
        <f>B94+ B94*B95*B96</f>
        <v>0.112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137" t="s">
        <v>299</v>
      </c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127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153" t="s">
        <v>300</v>
      </c>
      <c r="B101" s="154">
        <v>0.1</v>
      </c>
      <c r="C101" s="121" t="s">
        <v>301</v>
      </c>
      <c r="D101" s="121" t="s">
        <v>302</v>
      </c>
      <c r="E101" s="39"/>
      <c r="F101" s="121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39"/>
      <c r="B102" s="155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39"/>
      <c r="B103" s="155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38" t="s">
        <v>303</v>
      </c>
      <c r="B104" s="154">
        <v>0.1</v>
      </c>
      <c r="C104" s="39" t="s">
        <v>301</v>
      </c>
      <c r="D104" s="39" t="s">
        <v>304</v>
      </c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38" t="s">
        <v>305</v>
      </c>
      <c r="B105" s="156" t="str">
        <f>80 + 8*'Scope - Backend - Full Framework'!C14</f>
        <v>#REF!</v>
      </c>
      <c r="C105" s="39" t="s">
        <v>306</v>
      </c>
      <c r="D105" s="39" t="s">
        <v>307</v>
      </c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39" t="s">
        <v>308</v>
      </c>
      <c r="B108" s="90">
        <v>0.0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39" t="s">
        <v>309</v>
      </c>
      <c r="B109" s="90">
        <v>0.0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137" t="s">
        <v>310</v>
      </c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127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38" t="s">
        <v>311</v>
      </c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38" t="s">
        <v>312</v>
      </c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39" t="s">
        <v>313</v>
      </c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39" t="s">
        <v>314</v>
      </c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39" t="s">
        <v>315</v>
      </c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39" t="s">
        <v>316</v>
      </c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39" t="s">
        <v>317</v>
      </c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39" t="s">
        <v>318</v>
      </c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39" t="s">
        <v>319</v>
      </c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39"/>
      <c r="B123" s="39"/>
      <c r="C123" s="39"/>
      <c r="D123" s="25"/>
      <c r="E123" s="25" t="s">
        <v>320</v>
      </c>
      <c r="F123" s="25" t="s">
        <v>321</v>
      </c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39"/>
      <c r="B124" s="39"/>
      <c r="C124" s="39"/>
      <c r="D124" s="25" t="s">
        <v>15</v>
      </c>
      <c r="E124" s="25">
        <v>4.0</v>
      </c>
      <c r="F124" s="157">
        <v>1.0</v>
      </c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39"/>
      <c r="B125" s="39"/>
      <c r="C125" s="39"/>
      <c r="D125" s="25" t="s">
        <v>322</v>
      </c>
      <c r="E125" s="25">
        <v>2.0</v>
      </c>
      <c r="F125" s="157">
        <v>1.0</v>
      </c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39"/>
      <c r="B126" s="39"/>
      <c r="C126" s="39"/>
      <c r="D126" s="25" t="s">
        <v>323</v>
      </c>
      <c r="E126" s="25">
        <v>2.0</v>
      </c>
      <c r="F126" s="157">
        <v>0.6</v>
      </c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39"/>
      <c r="B127" s="39"/>
      <c r="C127" s="39"/>
      <c r="D127" s="25" t="s">
        <v>324</v>
      </c>
      <c r="E127" s="25">
        <v>6.0</v>
      </c>
      <c r="F127" s="157">
        <v>0.6</v>
      </c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7:A18"/>
    <mergeCell ref="B17:D17"/>
    <mergeCell ref="E17:G17"/>
    <mergeCell ref="H17:J17"/>
    <mergeCell ref="K17:M17"/>
    <mergeCell ref="B24:G24"/>
    <mergeCell ref="H24:M24"/>
    <mergeCell ref="B48:E48"/>
    <mergeCell ref="F48:I48"/>
    <mergeCell ref="A24:A25"/>
    <mergeCell ref="A32:A33"/>
    <mergeCell ref="B32:E32"/>
    <mergeCell ref="G32:G33"/>
    <mergeCell ref="A40:A41"/>
    <mergeCell ref="G40:G41"/>
    <mergeCell ref="A48:A49"/>
    <mergeCell ref="A83:A84"/>
    <mergeCell ref="A92:A93"/>
    <mergeCell ref="A99:A100"/>
    <mergeCell ref="A111:A112"/>
    <mergeCell ref="A56:A57"/>
    <mergeCell ref="B56:E56"/>
    <mergeCell ref="F56:I56"/>
    <mergeCell ref="B65:G65"/>
    <mergeCell ref="A74:A75"/>
    <mergeCell ref="B74:E74"/>
    <mergeCell ref="B83:G8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5.38"/>
    <col customWidth="1" min="3" max="3" width="52.88"/>
    <col customWidth="1" min="5" max="5" width="50.5"/>
  </cols>
  <sheetData>
    <row r="1">
      <c r="C1" s="6"/>
    </row>
    <row r="2">
      <c r="B2" s="71" t="s">
        <v>325</v>
      </c>
      <c r="C2" s="6"/>
    </row>
    <row r="3">
      <c r="B3" s="158" t="s">
        <v>31</v>
      </c>
      <c r="C3" s="16" t="s">
        <v>326</v>
      </c>
      <c r="D3" s="89"/>
    </row>
    <row r="4">
      <c r="B4" s="158" t="s">
        <v>144</v>
      </c>
      <c r="C4" s="16" t="s">
        <v>327</v>
      </c>
      <c r="D4" s="89"/>
    </row>
    <row r="5">
      <c r="B5" s="158" t="s">
        <v>176</v>
      </c>
      <c r="C5" s="16" t="s">
        <v>328</v>
      </c>
      <c r="D5" s="89"/>
    </row>
    <row r="6">
      <c r="B6" s="158" t="s">
        <v>329</v>
      </c>
      <c r="C6" s="159" t="s">
        <v>330</v>
      </c>
      <c r="D6" s="89"/>
    </row>
    <row r="7">
      <c r="B7" s="89"/>
      <c r="C7" s="160"/>
    </row>
    <row r="8">
      <c r="B8" s="89"/>
      <c r="C8" s="160"/>
    </row>
    <row r="9">
      <c r="B9" s="89"/>
      <c r="C9" s="160"/>
    </row>
    <row r="10">
      <c r="B10" s="89"/>
      <c r="C10" s="160"/>
    </row>
    <row r="11">
      <c r="C11" s="6"/>
    </row>
    <row r="12">
      <c r="C12" s="6"/>
    </row>
    <row r="13">
      <c r="C13" s="6"/>
    </row>
    <row r="14">
      <c r="C14" s="6"/>
    </row>
    <row r="15">
      <c r="B15" s="71"/>
      <c r="C15" s="6"/>
    </row>
    <row r="16">
      <c r="B16" s="89"/>
      <c r="C16" s="6"/>
      <c r="D16" s="89"/>
    </row>
    <row r="17">
      <c r="B17" s="89"/>
      <c r="C17" s="6"/>
      <c r="D17" s="89"/>
    </row>
    <row r="18">
      <c r="B18" s="89"/>
      <c r="C18" s="6"/>
      <c r="D18" s="89"/>
    </row>
    <row r="19">
      <c r="B19" s="89"/>
      <c r="C19" s="6"/>
      <c r="D19" s="89"/>
    </row>
    <row r="20">
      <c r="B20" s="89"/>
      <c r="C20" s="6"/>
      <c r="D20" s="89"/>
    </row>
    <row r="21" ht="15.75" customHeight="1">
      <c r="C21" s="6"/>
    </row>
    <row r="22" ht="15.75" customHeight="1">
      <c r="C22" s="6"/>
    </row>
    <row r="23" ht="15.75" customHeight="1">
      <c r="C23" s="6"/>
    </row>
    <row r="24" ht="15.75" customHeight="1">
      <c r="B24" s="71"/>
      <c r="C24" s="6"/>
    </row>
    <row r="25" ht="15.75" customHeight="1">
      <c r="B25" s="89"/>
      <c r="C25" s="6"/>
      <c r="D25" s="89"/>
    </row>
    <row r="26" ht="15.75" customHeight="1">
      <c r="B26" s="89"/>
      <c r="C26" s="6"/>
      <c r="D26" s="89"/>
    </row>
    <row r="27" ht="15.75" customHeight="1">
      <c r="B27" s="89"/>
      <c r="C27" s="6"/>
      <c r="D27" s="89"/>
    </row>
    <row r="28" ht="15.75" customHeight="1">
      <c r="B28" s="89"/>
      <c r="C28" s="6"/>
      <c r="D28" s="89"/>
    </row>
    <row r="29" ht="15.75" customHeight="1">
      <c r="B29" s="89"/>
      <c r="C29" s="6"/>
      <c r="D29" s="89"/>
    </row>
    <row r="30" ht="15.75" customHeight="1">
      <c r="C30" s="6"/>
    </row>
    <row r="31" ht="15.75" customHeight="1">
      <c r="C31" s="6"/>
    </row>
    <row r="32" ht="15.75" customHeight="1">
      <c r="C32" s="6"/>
    </row>
    <row r="33" ht="15.75" customHeight="1">
      <c r="C33" s="6"/>
    </row>
    <row r="34" ht="15.75" customHeight="1">
      <c r="C34" s="6"/>
    </row>
    <row r="35" ht="15.75" customHeight="1">
      <c r="C35" s="6"/>
    </row>
    <row r="36" ht="15.75" customHeight="1">
      <c r="C36" s="6"/>
    </row>
    <row r="37" ht="15.75" customHeight="1">
      <c r="C37" s="6"/>
    </row>
    <row r="38" ht="15.75" customHeight="1">
      <c r="C38" s="6"/>
    </row>
    <row r="39" ht="15.75" customHeight="1">
      <c r="C39" s="6"/>
    </row>
    <row r="40" ht="15.75" customHeight="1">
      <c r="C40" s="6"/>
    </row>
    <row r="41" ht="15.75" customHeight="1">
      <c r="C41" s="6"/>
    </row>
    <row r="42" ht="15.75" customHeight="1">
      <c r="C42" s="6"/>
    </row>
    <row r="43" ht="15.75" customHeight="1">
      <c r="C43" s="6"/>
    </row>
    <row r="44" ht="15.75" customHeight="1">
      <c r="C44" s="6"/>
    </row>
    <row r="45" ht="15.75" customHeight="1">
      <c r="C45" s="6"/>
    </row>
    <row r="46" ht="15.75" customHeight="1">
      <c r="C46" s="6"/>
    </row>
    <row r="47" ht="15.75" customHeight="1">
      <c r="C47" s="6"/>
    </row>
    <row r="48" ht="15.75" customHeight="1">
      <c r="C48" s="6"/>
    </row>
    <row r="49" ht="15.75" customHeight="1">
      <c r="C49" s="6"/>
    </row>
    <row r="50" ht="15.75" customHeight="1">
      <c r="C50" s="6"/>
    </row>
    <row r="51" ht="15.75" customHeight="1">
      <c r="C51" s="6"/>
    </row>
    <row r="52" ht="15.75" customHeight="1">
      <c r="C52" s="6"/>
    </row>
    <row r="53" ht="15.75" customHeight="1">
      <c r="C53" s="6"/>
    </row>
    <row r="54" ht="15.75" customHeight="1">
      <c r="C54" s="6"/>
    </row>
    <row r="55" ht="15.75" customHeight="1">
      <c r="C55" s="6"/>
    </row>
    <row r="56" ht="15.75" customHeight="1">
      <c r="C56" s="6"/>
    </row>
    <row r="57" ht="15.75" customHeight="1">
      <c r="C57" s="6"/>
    </row>
    <row r="58" ht="15.75" customHeight="1">
      <c r="C58" s="6"/>
    </row>
    <row r="59" ht="15.75" customHeight="1">
      <c r="C59" s="6"/>
    </row>
    <row r="60" ht="15.75" customHeight="1">
      <c r="C60" s="6"/>
    </row>
    <row r="61" ht="15.75" customHeight="1">
      <c r="C61" s="6"/>
    </row>
    <row r="62" ht="15.75" customHeight="1">
      <c r="C62" s="6"/>
    </row>
    <row r="63" ht="15.75" customHeight="1">
      <c r="C63" s="6"/>
    </row>
    <row r="64" ht="15.75" customHeight="1">
      <c r="C64" s="6"/>
    </row>
    <row r="65" ht="15.75" customHeight="1">
      <c r="C65" s="6"/>
    </row>
    <row r="66" ht="15.75" customHeight="1">
      <c r="C66" s="6"/>
    </row>
    <row r="67" ht="15.75" customHeight="1">
      <c r="C67" s="6"/>
    </row>
    <row r="68" ht="15.75" customHeight="1">
      <c r="C68" s="6"/>
    </row>
    <row r="69" ht="15.75" customHeight="1">
      <c r="C69" s="6"/>
    </row>
    <row r="70" ht="15.75" customHeight="1">
      <c r="C70" s="6"/>
    </row>
    <row r="71" ht="15.75" customHeight="1">
      <c r="C71" s="6"/>
    </row>
    <row r="72" ht="15.75" customHeight="1">
      <c r="C72" s="6"/>
    </row>
    <row r="73" ht="15.75" customHeight="1">
      <c r="C73" s="6"/>
    </row>
    <row r="74" ht="15.75" customHeight="1">
      <c r="C74" s="6"/>
    </row>
    <row r="75" ht="15.75" customHeight="1">
      <c r="C75" s="6"/>
    </row>
    <row r="76" ht="15.75" customHeight="1">
      <c r="C76" s="6"/>
    </row>
    <row r="77" ht="15.75" customHeight="1">
      <c r="C77" s="6"/>
    </row>
    <row r="78" ht="15.75" customHeight="1">
      <c r="C78" s="6"/>
    </row>
    <row r="79" ht="15.75" customHeight="1">
      <c r="C79" s="6"/>
    </row>
    <row r="80" ht="15.75" customHeight="1">
      <c r="C80" s="6"/>
    </row>
    <row r="81" ht="15.75" customHeight="1">
      <c r="C81" s="6"/>
    </row>
    <row r="82" ht="15.75" customHeight="1">
      <c r="C82" s="6"/>
    </row>
    <row r="83" ht="15.75" customHeight="1">
      <c r="C83" s="6"/>
    </row>
    <row r="84" ht="15.75" customHeight="1">
      <c r="C84" s="6"/>
    </row>
    <row r="85" ht="15.75" customHeight="1">
      <c r="C85" s="6"/>
    </row>
    <row r="86" ht="15.75" customHeight="1">
      <c r="C86" s="6"/>
    </row>
    <row r="87" ht="15.75" customHeight="1">
      <c r="C87" s="6"/>
    </row>
    <row r="88" ht="15.75" customHeight="1">
      <c r="C88" s="6"/>
    </row>
    <row r="89" ht="15.75" customHeight="1">
      <c r="C89" s="6"/>
    </row>
    <row r="90" ht="15.75" customHeight="1">
      <c r="C90" s="6"/>
    </row>
    <row r="91" ht="15.75" customHeight="1">
      <c r="C91" s="6"/>
    </row>
    <row r="92" ht="15.75" customHeight="1">
      <c r="C92" s="6"/>
    </row>
    <row r="93" ht="15.75" customHeight="1">
      <c r="C93" s="6"/>
    </row>
    <row r="94" ht="15.75" customHeight="1">
      <c r="C94" s="6"/>
    </row>
    <row r="95" ht="15.75" customHeight="1">
      <c r="C95" s="6"/>
    </row>
    <row r="96" ht="15.75" customHeight="1">
      <c r="C96" s="6"/>
    </row>
    <row r="97" ht="15.75" customHeight="1">
      <c r="C97" s="6"/>
    </row>
    <row r="98" ht="15.75" customHeight="1">
      <c r="C98" s="6"/>
    </row>
    <row r="99" ht="15.75" customHeight="1">
      <c r="C99" s="6"/>
    </row>
    <row r="100" ht="15.75" customHeight="1">
      <c r="C100" s="6"/>
    </row>
    <row r="101" ht="15.75" customHeight="1">
      <c r="C101" s="6"/>
    </row>
    <row r="102" ht="15.75" customHeight="1">
      <c r="C102" s="6"/>
    </row>
    <row r="103" ht="15.75" customHeight="1">
      <c r="C103" s="6"/>
    </row>
    <row r="104" ht="15.75" customHeight="1">
      <c r="C104" s="6"/>
    </row>
    <row r="105" ht="15.75" customHeight="1">
      <c r="C105" s="6"/>
    </row>
    <row r="106" ht="15.75" customHeight="1">
      <c r="C106" s="6"/>
    </row>
    <row r="107" ht="15.75" customHeight="1">
      <c r="C107" s="6"/>
    </row>
    <row r="108" ht="15.75" customHeight="1">
      <c r="C108" s="6"/>
    </row>
    <row r="109" ht="15.75" customHeight="1">
      <c r="C109" s="6"/>
    </row>
    <row r="110" ht="15.75" customHeight="1">
      <c r="C110" s="6"/>
    </row>
    <row r="111" ht="15.75" customHeight="1">
      <c r="C111" s="6"/>
    </row>
    <row r="112" ht="15.75" customHeight="1">
      <c r="C112" s="6"/>
    </row>
    <row r="113" ht="15.75" customHeight="1">
      <c r="C113" s="6"/>
    </row>
    <row r="114" ht="15.75" customHeight="1">
      <c r="C114" s="6"/>
    </row>
    <row r="115" ht="15.75" customHeight="1">
      <c r="C115" s="6"/>
    </row>
    <row r="116" ht="15.75" customHeight="1">
      <c r="C116" s="6"/>
    </row>
    <row r="117" ht="15.75" customHeight="1">
      <c r="C117" s="6"/>
    </row>
    <row r="118" ht="15.75" customHeight="1">
      <c r="C118" s="6"/>
    </row>
    <row r="119" ht="15.75" customHeight="1">
      <c r="C119" s="6"/>
    </row>
    <row r="120" ht="15.75" customHeight="1">
      <c r="C120" s="6"/>
    </row>
    <row r="121" ht="15.75" customHeight="1">
      <c r="C121" s="6"/>
    </row>
    <row r="122" ht="15.75" customHeight="1">
      <c r="C122" s="6"/>
    </row>
    <row r="123" ht="15.75" customHeight="1">
      <c r="C123" s="6"/>
    </row>
    <row r="124" ht="15.75" customHeight="1">
      <c r="C124" s="6"/>
    </row>
    <row r="125" ht="15.75" customHeight="1">
      <c r="C125" s="6"/>
    </row>
    <row r="126" ht="15.75" customHeight="1">
      <c r="C126" s="6"/>
    </row>
    <row r="127" ht="15.75" customHeight="1">
      <c r="C127" s="6"/>
    </row>
    <row r="128" ht="15.75" customHeight="1">
      <c r="C128" s="6"/>
    </row>
    <row r="129" ht="15.75" customHeight="1">
      <c r="C129" s="6"/>
    </row>
    <row r="130" ht="15.75" customHeight="1">
      <c r="C130" s="6"/>
    </row>
    <row r="131" ht="15.75" customHeight="1">
      <c r="C131" s="6"/>
    </row>
    <row r="132" ht="15.75" customHeight="1">
      <c r="C132" s="6"/>
    </row>
    <row r="133" ht="15.75" customHeight="1">
      <c r="C133" s="6"/>
    </row>
    <row r="134" ht="15.75" customHeight="1">
      <c r="C134" s="6"/>
    </row>
    <row r="135" ht="15.75" customHeight="1">
      <c r="C135" s="6"/>
    </row>
    <row r="136" ht="15.75" customHeight="1">
      <c r="C136" s="6"/>
    </row>
    <row r="137" ht="15.75" customHeight="1">
      <c r="C137" s="6"/>
    </row>
    <row r="138" ht="15.75" customHeight="1">
      <c r="C138" s="6"/>
    </row>
    <row r="139" ht="15.75" customHeight="1">
      <c r="C139" s="6"/>
    </row>
    <row r="140" ht="15.75" customHeight="1">
      <c r="C140" s="6"/>
    </row>
    <row r="141" ht="15.75" customHeight="1">
      <c r="C141" s="6"/>
    </row>
    <row r="142" ht="15.75" customHeight="1">
      <c r="C142" s="6"/>
    </row>
    <row r="143" ht="15.75" customHeight="1">
      <c r="C143" s="6"/>
    </row>
    <row r="144" ht="15.75" customHeight="1">
      <c r="C144" s="6"/>
    </row>
    <row r="145" ht="15.75" customHeight="1">
      <c r="C145" s="6"/>
    </row>
    <row r="146" ht="15.75" customHeight="1">
      <c r="C146" s="6"/>
    </row>
    <row r="147" ht="15.75" customHeight="1">
      <c r="C147" s="6"/>
    </row>
    <row r="148" ht="15.75" customHeight="1">
      <c r="C148" s="6"/>
    </row>
    <row r="149" ht="15.75" customHeight="1">
      <c r="C149" s="6"/>
    </row>
    <row r="150" ht="15.75" customHeight="1">
      <c r="C150" s="6"/>
    </row>
    <row r="151" ht="15.75" customHeight="1">
      <c r="C151" s="6"/>
    </row>
    <row r="152" ht="15.75" customHeight="1">
      <c r="C152" s="6"/>
    </row>
    <row r="153" ht="15.75" customHeight="1">
      <c r="C153" s="6"/>
    </row>
    <row r="154" ht="15.75" customHeight="1">
      <c r="C154" s="6"/>
    </row>
    <row r="155" ht="15.75" customHeight="1">
      <c r="C155" s="6"/>
    </row>
    <row r="156" ht="15.75" customHeight="1">
      <c r="C156" s="6"/>
    </row>
    <row r="157" ht="15.75" customHeight="1">
      <c r="C157" s="6"/>
    </row>
    <row r="158" ht="15.75" customHeight="1">
      <c r="C158" s="6"/>
    </row>
    <row r="159" ht="15.75" customHeight="1">
      <c r="C159" s="6"/>
    </row>
    <row r="160" ht="15.75" customHeight="1">
      <c r="C160" s="6"/>
    </row>
    <row r="161" ht="15.75" customHeight="1">
      <c r="C161" s="6"/>
    </row>
    <row r="162" ht="15.75" customHeight="1">
      <c r="C162" s="6"/>
    </row>
    <row r="163" ht="15.75" customHeight="1">
      <c r="C163" s="6"/>
    </row>
    <row r="164" ht="15.75" customHeight="1">
      <c r="C164" s="6"/>
    </row>
    <row r="165" ht="15.75" customHeight="1">
      <c r="C165" s="6"/>
    </row>
    <row r="166" ht="15.75" customHeight="1">
      <c r="C166" s="6"/>
    </row>
    <row r="167" ht="15.75" customHeight="1">
      <c r="C167" s="6"/>
    </row>
    <row r="168" ht="15.75" customHeight="1">
      <c r="C168" s="6"/>
    </row>
    <row r="169" ht="15.75" customHeight="1">
      <c r="C169" s="6"/>
    </row>
    <row r="170" ht="15.75" customHeight="1">
      <c r="C170" s="6"/>
    </row>
    <row r="171" ht="15.75" customHeight="1">
      <c r="C171" s="6"/>
    </row>
    <row r="172" ht="15.75" customHeight="1">
      <c r="C172" s="6"/>
    </row>
    <row r="173" ht="15.75" customHeight="1">
      <c r="C173" s="6"/>
    </row>
    <row r="174" ht="15.75" customHeight="1">
      <c r="C174" s="6"/>
    </row>
    <row r="175" ht="15.75" customHeight="1">
      <c r="C175" s="6"/>
    </row>
    <row r="176" ht="15.75" customHeight="1">
      <c r="C176" s="6"/>
    </row>
    <row r="177" ht="15.75" customHeight="1">
      <c r="C177" s="6"/>
    </row>
    <row r="178" ht="15.75" customHeight="1">
      <c r="C178" s="6"/>
    </row>
    <row r="179" ht="15.75" customHeight="1">
      <c r="C179" s="6"/>
    </row>
    <row r="180" ht="15.75" customHeight="1">
      <c r="C180" s="6"/>
    </row>
    <row r="181" ht="15.75" customHeight="1">
      <c r="C181" s="6"/>
    </row>
    <row r="182" ht="15.75" customHeight="1">
      <c r="C182" s="6"/>
    </row>
    <row r="183" ht="15.75" customHeight="1">
      <c r="C183" s="6"/>
    </row>
    <row r="184" ht="15.75" customHeight="1">
      <c r="C184" s="6"/>
    </row>
    <row r="185" ht="15.75" customHeight="1">
      <c r="C185" s="6"/>
    </row>
    <row r="186" ht="15.75" customHeight="1">
      <c r="C186" s="6"/>
    </row>
    <row r="187" ht="15.75" customHeight="1">
      <c r="C187" s="6"/>
    </row>
    <row r="188" ht="15.75" customHeight="1">
      <c r="C188" s="6"/>
    </row>
    <row r="189" ht="15.75" customHeight="1">
      <c r="C189" s="6"/>
    </row>
    <row r="190" ht="15.75" customHeight="1">
      <c r="C190" s="6"/>
    </row>
    <row r="191" ht="15.75" customHeight="1">
      <c r="C191" s="6"/>
    </row>
    <row r="192" ht="15.75" customHeight="1">
      <c r="C192" s="6"/>
    </row>
    <row r="193" ht="15.75" customHeight="1">
      <c r="C193" s="6"/>
    </row>
    <row r="194" ht="15.75" customHeight="1">
      <c r="C194" s="6"/>
    </row>
    <row r="195" ht="15.75" customHeight="1">
      <c r="C195" s="6"/>
    </row>
    <row r="196" ht="15.75" customHeight="1">
      <c r="C196" s="6"/>
    </row>
    <row r="197" ht="15.75" customHeight="1">
      <c r="C197" s="6"/>
    </row>
    <row r="198" ht="15.75" customHeight="1">
      <c r="C198" s="6"/>
    </row>
    <row r="199" ht="15.75" customHeight="1">
      <c r="C199" s="6"/>
    </row>
    <row r="200" ht="15.75" customHeight="1">
      <c r="C200" s="6"/>
    </row>
    <row r="201" ht="15.75" customHeight="1">
      <c r="C201" s="6"/>
    </row>
    <row r="202" ht="15.75" customHeight="1">
      <c r="C202" s="6"/>
    </row>
    <row r="203" ht="15.75" customHeight="1">
      <c r="C203" s="6"/>
    </row>
    <row r="204" ht="15.75" customHeight="1">
      <c r="C204" s="6"/>
    </row>
    <row r="205" ht="15.75" customHeight="1">
      <c r="C205" s="6"/>
    </row>
    <row r="206" ht="15.75" customHeight="1">
      <c r="C206" s="6"/>
    </row>
    <row r="207" ht="15.75" customHeight="1">
      <c r="C207" s="6"/>
    </row>
    <row r="208" ht="15.75" customHeight="1">
      <c r="C208" s="6"/>
    </row>
    <row r="209" ht="15.75" customHeight="1">
      <c r="C209" s="6"/>
    </row>
    <row r="210" ht="15.75" customHeight="1">
      <c r="C210" s="6"/>
    </row>
    <row r="211" ht="15.75" customHeight="1">
      <c r="C211" s="6"/>
    </row>
    <row r="212" ht="15.75" customHeight="1">
      <c r="C212" s="6"/>
    </row>
    <row r="213" ht="15.75" customHeight="1">
      <c r="C213" s="6"/>
    </row>
    <row r="214" ht="15.75" customHeight="1">
      <c r="C214" s="6"/>
    </row>
    <row r="215" ht="15.75" customHeight="1">
      <c r="C215" s="6"/>
    </row>
    <row r="216" ht="15.75" customHeight="1">
      <c r="C216" s="6"/>
    </row>
    <row r="217" ht="15.75" customHeight="1">
      <c r="C217" s="6"/>
    </row>
    <row r="218" ht="15.75" customHeight="1">
      <c r="C218" s="6"/>
    </row>
    <row r="219" ht="15.75" customHeight="1">
      <c r="C219" s="6"/>
    </row>
    <row r="220" ht="15.75" customHeight="1">
      <c r="C220" s="6"/>
    </row>
    <row r="221" ht="15.75" customHeight="1">
      <c r="C221" s="6"/>
    </row>
    <row r="222" ht="15.75" customHeight="1">
      <c r="C222" s="6"/>
    </row>
    <row r="223" ht="15.75" customHeight="1">
      <c r="C223" s="6"/>
    </row>
    <row r="224" ht="15.75" customHeight="1">
      <c r="C224" s="6"/>
    </row>
    <row r="225" ht="15.75" customHeight="1">
      <c r="C225" s="6"/>
    </row>
    <row r="226" ht="15.75" customHeight="1">
      <c r="C226" s="6"/>
    </row>
    <row r="227" ht="15.75" customHeight="1">
      <c r="C227" s="6"/>
    </row>
    <row r="228" ht="15.75" customHeight="1">
      <c r="C228" s="6"/>
    </row>
    <row r="229" ht="15.75" customHeight="1">
      <c r="C229" s="6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</cols>
  <sheetData>
    <row r="1">
      <c r="A1" s="161" t="s">
        <v>331</v>
      </c>
      <c r="B1" s="161" t="s">
        <v>332</v>
      </c>
      <c r="C1" s="162"/>
      <c r="D1" s="162"/>
      <c r="E1" s="162"/>
      <c r="F1" s="163" t="s">
        <v>333</v>
      </c>
    </row>
    <row r="2">
      <c r="A2" s="161" t="s">
        <v>334</v>
      </c>
      <c r="B2" s="164" t="s">
        <v>335</v>
      </c>
      <c r="C2" s="163" t="s">
        <v>33</v>
      </c>
      <c r="D2" s="163" t="s">
        <v>35</v>
      </c>
      <c r="E2" s="163" t="s">
        <v>38</v>
      </c>
      <c r="F2" s="164" t="s">
        <v>216</v>
      </c>
    </row>
    <row r="3">
      <c r="A3" s="165" t="s">
        <v>219</v>
      </c>
      <c r="B3" s="165" t="s">
        <v>218</v>
      </c>
      <c r="C3" s="99">
        <v>1.95</v>
      </c>
      <c r="D3" s="99">
        <v>2.5</v>
      </c>
      <c r="E3" s="99">
        <v>1.25</v>
      </c>
      <c r="F3" s="99">
        <f t="shared" ref="F3:F15" si="1">SUM(C3:E3)</f>
        <v>5.7</v>
      </c>
    </row>
    <row r="4">
      <c r="A4" s="165" t="s">
        <v>336</v>
      </c>
      <c r="B4" s="165" t="s">
        <v>220</v>
      </c>
      <c r="C4" s="99">
        <v>1.95</v>
      </c>
      <c r="D4" s="99">
        <v>2.5</v>
      </c>
      <c r="E4" s="99">
        <v>1.25</v>
      </c>
      <c r="F4" s="99">
        <f t="shared" si="1"/>
        <v>5.7</v>
      </c>
    </row>
    <row r="5">
      <c r="A5" s="165" t="s">
        <v>337</v>
      </c>
      <c r="B5" s="165" t="s">
        <v>220</v>
      </c>
      <c r="C5" s="99">
        <v>1.95</v>
      </c>
      <c r="D5" s="99">
        <v>2.5</v>
      </c>
      <c r="E5" s="99">
        <v>1.25</v>
      </c>
      <c r="F5" s="99">
        <f t="shared" si="1"/>
        <v>5.7</v>
      </c>
    </row>
    <row r="6">
      <c r="A6" s="165" t="s">
        <v>337</v>
      </c>
      <c r="B6" s="165" t="s">
        <v>220</v>
      </c>
      <c r="C6" s="99">
        <v>1.95</v>
      </c>
      <c r="D6" s="99">
        <v>2.5</v>
      </c>
      <c r="E6" s="99">
        <v>1.25</v>
      </c>
      <c r="F6" s="99">
        <f t="shared" si="1"/>
        <v>5.7</v>
      </c>
    </row>
    <row r="7">
      <c r="A7" s="165" t="s">
        <v>223</v>
      </c>
      <c r="B7" s="165" t="s">
        <v>223</v>
      </c>
      <c r="C7" s="99">
        <v>0.25</v>
      </c>
      <c r="D7" s="99">
        <v>0.4</v>
      </c>
      <c r="E7" s="99">
        <v>0.25</v>
      </c>
      <c r="F7" s="99">
        <f t="shared" si="1"/>
        <v>0.9</v>
      </c>
    </row>
    <row r="8">
      <c r="A8" s="165" t="s">
        <v>338</v>
      </c>
      <c r="B8" s="165" t="s">
        <v>224</v>
      </c>
      <c r="C8" s="99">
        <v>1.05</v>
      </c>
      <c r="D8" s="99">
        <v>1.3</v>
      </c>
      <c r="E8" s="99">
        <v>0.6</v>
      </c>
      <c r="F8" s="99">
        <f t="shared" si="1"/>
        <v>2.95</v>
      </c>
    </row>
    <row r="9">
      <c r="A9" s="165" t="s">
        <v>339</v>
      </c>
      <c r="B9" s="165" t="s">
        <v>226</v>
      </c>
      <c r="C9" s="99">
        <v>0.95</v>
      </c>
      <c r="D9" s="99">
        <v>1.35</v>
      </c>
      <c r="E9" s="99">
        <v>0.65</v>
      </c>
      <c r="F9" s="99">
        <f t="shared" si="1"/>
        <v>2.95</v>
      </c>
    </row>
    <row r="10">
      <c r="A10" s="165" t="s">
        <v>340</v>
      </c>
      <c r="B10" s="165" t="s">
        <v>228</v>
      </c>
      <c r="C10" s="99">
        <v>0.25</v>
      </c>
      <c r="D10" s="99">
        <v>0.35</v>
      </c>
      <c r="E10" s="99">
        <v>0.2</v>
      </c>
      <c r="F10" s="99">
        <f t="shared" si="1"/>
        <v>0.8</v>
      </c>
    </row>
    <row r="11">
      <c r="A11" s="165" t="s">
        <v>229</v>
      </c>
      <c r="B11" s="165" t="s">
        <v>229</v>
      </c>
      <c r="C11" s="99">
        <v>0.4</v>
      </c>
      <c r="D11" s="99">
        <v>0.5</v>
      </c>
      <c r="E11" s="99">
        <v>0.25</v>
      </c>
      <c r="F11" s="99">
        <f t="shared" si="1"/>
        <v>1.15</v>
      </c>
    </row>
    <row r="12">
      <c r="A12" s="165" t="s">
        <v>336</v>
      </c>
      <c r="B12" s="165" t="s">
        <v>230</v>
      </c>
      <c r="C12" s="99">
        <v>0.4</v>
      </c>
      <c r="D12" s="99">
        <v>0.2</v>
      </c>
      <c r="E12" s="99">
        <v>0.2</v>
      </c>
      <c r="F12" s="99">
        <f t="shared" si="1"/>
        <v>0.8</v>
      </c>
    </row>
    <row r="13">
      <c r="A13" s="165" t="s">
        <v>231</v>
      </c>
      <c r="B13" s="165" t="s">
        <v>15</v>
      </c>
      <c r="C13" s="99">
        <v>0.5</v>
      </c>
      <c r="D13" s="99">
        <v>0.65</v>
      </c>
      <c r="E13" s="99">
        <v>0.35</v>
      </c>
      <c r="F13" s="99">
        <f t="shared" si="1"/>
        <v>1.5</v>
      </c>
    </row>
    <row r="14">
      <c r="A14" s="165" t="s">
        <v>341</v>
      </c>
      <c r="B14" s="165" t="s">
        <v>16</v>
      </c>
      <c r="C14" s="99">
        <v>0.4</v>
      </c>
      <c r="D14" s="99">
        <v>0.5</v>
      </c>
      <c r="E14" s="99">
        <v>0.25</v>
      </c>
      <c r="F14" s="99">
        <f t="shared" si="1"/>
        <v>1.15</v>
      </c>
    </row>
    <row r="15">
      <c r="A15" s="165" t="s">
        <v>233</v>
      </c>
      <c r="B15" s="165" t="s">
        <v>233</v>
      </c>
      <c r="C15" s="99">
        <v>0.65</v>
      </c>
      <c r="D15" s="99">
        <v>0.85</v>
      </c>
      <c r="E15" s="99">
        <v>0.45</v>
      </c>
      <c r="F15" s="99">
        <f t="shared" si="1"/>
        <v>1.95</v>
      </c>
    </row>
    <row r="16">
      <c r="A16" s="162"/>
      <c r="B16" s="162"/>
      <c r="C16" s="102">
        <f t="shared" ref="C16:F16" si="2">SUM(C3:C15)</f>
        <v>12.65</v>
      </c>
      <c r="D16" s="102">
        <f t="shared" si="2"/>
        <v>16.1</v>
      </c>
      <c r="E16" s="102">
        <f t="shared" si="2"/>
        <v>8.2</v>
      </c>
      <c r="F16" s="102">
        <f t="shared" si="2"/>
        <v>36.95</v>
      </c>
    </row>
  </sheetData>
  <dataValidations>
    <dataValidation type="list" allowBlank="1" showErrorMessage="1" sqref="B1">
      <formula1>"High,Low"</formula1>
    </dataValidation>
    <dataValidation type="list" allowBlank="1" showErrorMessage="1" sqref="A1">
      <formula1>"US,India"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6.38"/>
    <col customWidth="1" min="3" max="3" width="54.75"/>
    <col customWidth="1" min="4" max="4" width="39.13"/>
  </cols>
  <sheetData>
    <row r="1">
      <c r="A1" s="51" t="s">
        <v>342</v>
      </c>
    </row>
    <row r="3">
      <c r="B3" s="51" t="s">
        <v>343</v>
      </c>
    </row>
    <row r="4">
      <c r="B4" s="51" t="s">
        <v>344</v>
      </c>
    </row>
    <row r="6">
      <c r="A6" s="51" t="s">
        <v>345</v>
      </c>
    </row>
    <row r="7">
      <c r="B7" s="51" t="s">
        <v>346</v>
      </c>
    </row>
    <row r="8">
      <c r="B8" s="51" t="s">
        <v>347</v>
      </c>
    </row>
    <row r="9">
      <c r="B9" s="51" t="s">
        <v>348</v>
      </c>
    </row>
    <row r="12">
      <c r="A12" s="51" t="s">
        <v>349</v>
      </c>
    </row>
    <row r="13">
      <c r="B13" s="51" t="s">
        <v>350</v>
      </c>
    </row>
    <row r="14">
      <c r="B14" s="51" t="s">
        <v>351</v>
      </c>
    </row>
    <row r="15">
      <c r="B15" s="51" t="s">
        <v>352</v>
      </c>
    </row>
    <row r="16">
      <c r="A16" s="51"/>
      <c r="B16" s="51" t="s">
        <v>353</v>
      </c>
      <c r="C16" s="51" t="s">
        <v>354</v>
      </c>
    </row>
    <row r="17">
      <c r="A17" s="51"/>
      <c r="B17" s="51" t="s">
        <v>355</v>
      </c>
    </row>
    <row r="18">
      <c r="A18" s="51"/>
    </row>
    <row r="19">
      <c r="A19" s="51"/>
    </row>
    <row r="20">
      <c r="A20" s="51" t="s">
        <v>356</v>
      </c>
    </row>
    <row r="21">
      <c r="B21" s="51" t="s">
        <v>357</v>
      </c>
    </row>
    <row r="22">
      <c r="B22" s="51" t="s">
        <v>358</v>
      </c>
    </row>
    <row r="23">
      <c r="B23" s="51" t="s">
        <v>359</v>
      </c>
    </row>
    <row r="25">
      <c r="A25" s="51" t="s">
        <v>360</v>
      </c>
      <c r="B25" s="51" t="s">
        <v>361</v>
      </c>
    </row>
    <row r="26">
      <c r="B26" s="51" t="s">
        <v>362</v>
      </c>
    </row>
    <row r="27">
      <c r="B27" s="51" t="s">
        <v>363</v>
      </c>
    </row>
    <row r="28">
      <c r="B28" s="51" t="s">
        <v>364</v>
      </c>
    </row>
    <row r="30">
      <c r="B30" s="51" t="s">
        <v>365</v>
      </c>
    </row>
    <row r="32">
      <c r="A32" s="76" t="s">
        <v>366</v>
      </c>
      <c r="B32" s="51" t="s">
        <v>367</v>
      </c>
    </row>
    <row r="33">
      <c r="B33" s="51" t="s">
        <v>368</v>
      </c>
    </row>
    <row r="34">
      <c r="A34" s="86"/>
      <c r="B34" s="51" t="s">
        <v>369</v>
      </c>
    </row>
    <row r="35">
      <c r="B35" s="51" t="s">
        <v>370</v>
      </c>
    </row>
    <row r="36">
      <c r="B36" s="51" t="s">
        <v>371</v>
      </c>
    </row>
    <row r="37">
      <c r="B37" s="51" t="s">
        <v>372</v>
      </c>
    </row>
    <row r="40">
      <c r="A40" s="51" t="s">
        <v>373</v>
      </c>
      <c r="B40" s="51" t="s">
        <v>374</v>
      </c>
      <c r="C40" s="51" t="s">
        <v>375</v>
      </c>
    </row>
    <row r="41">
      <c r="B41" s="166" t="s">
        <v>376</v>
      </c>
    </row>
    <row r="42">
      <c r="B42" s="166" t="s">
        <v>377</v>
      </c>
      <c r="C42" s="51" t="s">
        <v>378</v>
      </c>
    </row>
    <row r="43">
      <c r="B43" s="166" t="s">
        <v>379</v>
      </c>
      <c r="C43" s="51" t="s">
        <v>380</v>
      </c>
    </row>
    <row r="45">
      <c r="A45" s="51" t="s">
        <v>381</v>
      </c>
      <c r="B45" s="167"/>
    </row>
    <row r="48">
      <c r="A48" s="51" t="s">
        <v>382</v>
      </c>
      <c r="B48" s="51" t="s">
        <v>383</v>
      </c>
    </row>
    <row r="49">
      <c r="B49" s="51" t="s">
        <v>384</v>
      </c>
      <c r="C49" s="51" t="s">
        <v>385</v>
      </c>
    </row>
    <row r="50">
      <c r="B50" s="51" t="s">
        <v>386</v>
      </c>
      <c r="C50" s="51" t="s">
        <v>387</v>
      </c>
      <c r="D50" s="51" t="s">
        <v>388</v>
      </c>
    </row>
    <row r="53">
      <c r="B53" s="51" t="s">
        <v>389</v>
      </c>
      <c r="C53" s="51" t="s">
        <v>390</v>
      </c>
    </row>
    <row r="54">
      <c r="A54" s="51" t="s">
        <v>391</v>
      </c>
    </row>
    <row r="55">
      <c r="A55" s="51" t="s">
        <v>392</v>
      </c>
      <c r="B55" s="51" t="s">
        <v>390</v>
      </c>
      <c r="C55" s="51" t="s">
        <v>393</v>
      </c>
    </row>
    <row r="56">
      <c r="A56" s="51" t="s">
        <v>394</v>
      </c>
      <c r="B56" s="51" t="s">
        <v>395</v>
      </c>
    </row>
    <row r="57">
      <c r="A57" s="51" t="s">
        <v>396</v>
      </c>
      <c r="B57" s="51" t="s">
        <v>397</v>
      </c>
    </row>
    <row r="58">
      <c r="A58" s="51" t="s">
        <v>398</v>
      </c>
      <c r="B58" s="51" t="s">
        <v>399</v>
      </c>
    </row>
    <row r="59">
      <c r="A59" s="51" t="s">
        <v>400</v>
      </c>
      <c r="B59" s="51" t="s">
        <v>401</v>
      </c>
    </row>
    <row r="60">
      <c r="A60" s="51" t="s">
        <v>402</v>
      </c>
      <c r="B60" s="51" t="s">
        <v>403</v>
      </c>
    </row>
    <row r="61">
      <c r="A61" s="51" t="s">
        <v>404</v>
      </c>
      <c r="B61" s="51" t="s">
        <v>405</v>
      </c>
    </row>
    <row r="62">
      <c r="A62" s="51" t="s">
        <v>406</v>
      </c>
      <c r="B62" s="51" t="s">
        <v>407</v>
      </c>
    </row>
    <row r="63">
      <c r="A63" s="51" t="s">
        <v>408</v>
      </c>
    </row>
    <row r="64">
      <c r="A64" s="51" t="s">
        <v>409</v>
      </c>
    </row>
    <row r="65">
      <c r="A65" s="51" t="s">
        <v>410</v>
      </c>
    </row>
    <row r="66">
      <c r="A66" s="51" t="s">
        <v>411</v>
      </c>
    </row>
    <row r="67">
      <c r="A67" s="51" t="s">
        <v>412</v>
      </c>
    </row>
    <row r="68">
      <c r="A68" s="51" t="s">
        <v>413</v>
      </c>
    </row>
    <row r="69">
      <c r="A69" s="51" t="s">
        <v>414</v>
      </c>
    </row>
    <row r="70">
      <c r="A70" s="51" t="s">
        <v>415</v>
      </c>
    </row>
    <row r="71">
      <c r="A71" s="51" t="s">
        <v>416</v>
      </c>
    </row>
    <row r="72">
      <c r="A72" s="51" t="s">
        <v>417</v>
      </c>
    </row>
    <row r="73">
      <c r="A73" s="51" t="s">
        <v>418</v>
      </c>
    </row>
    <row r="74">
      <c r="A74" s="51" t="s">
        <v>419</v>
      </c>
    </row>
    <row r="75">
      <c r="A75" s="51" t="s">
        <v>420</v>
      </c>
    </row>
    <row r="76">
      <c r="A76" s="51" t="s">
        <v>421</v>
      </c>
    </row>
    <row r="77">
      <c r="A77" s="51" t="s">
        <v>422</v>
      </c>
    </row>
    <row r="78">
      <c r="A78" s="51" t="s">
        <v>423</v>
      </c>
    </row>
    <row r="79">
      <c r="A79" s="51" t="s">
        <v>424</v>
      </c>
    </row>
    <row r="80">
      <c r="A80" s="51" t="s">
        <v>425</v>
      </c>
    </row>
    <row r="81">
      <c r="A81" s="51" t="s">
        <v>426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4" width="34.25"/>
  </cols>
  <sheetData>
    <row r="2">
      <c r="A2" s="86"/>
      <c r="B2" s="76" t="s">
        <v>427</v>
      </c>
      <c r="C2" s="76" t="s">
        <v>428</v>
      </c>
      <c r="D2" s="76" t="s">
        <v>429</v>
      </c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4">
      <c r="B4" s="51" t="s">
        <v>430</v>
      </c>
      <c r="C4" s="51" t="s">
        <v>431</v>
      </c>
      <c r="D4" s="51" t="s">
        <v>432</v>
      </c>
    </row>
  </sheetData>
  <mergeCells count="1">
    <mergeCell ref="B1:D1"/>
  </mergeCells>
  <drawing r:id="rId1"/>
</worksheet>
</file>